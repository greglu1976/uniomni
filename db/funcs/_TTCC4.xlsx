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9" i="4" l="1"/>
  <c r="AY9" i="4" s="1"/>
  <c r="BG3" i="6" l="1"/>
  <c r="AV3" i="6"/>
  <c r="J3" i="6"/>
  <c r="I3" i="6"/>
  <c r="BG10" i="6" l="1"/>
  <c r="BG5" i="6"/>
  <c r="AV5" i="6"/>
  <c r="J5" i="6"/>
  <c r="I5" i="6"/>
  <c r="AP9" i="6" l="1"/>
  <c r="AP8" i="6"/>
  <c r="AP15" i="6"/>
  <c r="AP16" i="6"/>
  <c r="AP6" i="5"/>
  <c r="AP5" i="5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AP4" i="5" l="1"/>
  <c r="AP3" i="5"/>
  <c r="BG4" i="6"/>
  <c r="BG11" i="6" l="1"/>
  <c r="AV11" i="6"/>
  <c r="J11" i="6"/>
  <c r="I11" i="6"/>
  <c r="AV10" i="6"/>
  <c r="J10" i="6"/>
  <c r="I10" i="6"/>
  <c r="BG6" i="6"/>
  <c r="AV6" i="6"/>
  <c r="J6" i="6"/>
  <c r="I6" i="6"/>
  <c r="BG8" i="6"/>
  <c r="AV8" i="6"/>
  <c r="J8" i="6"/>
  <c r="I8" i="6"/>
  <c r="BG7" i="6"/>
  <c r="AV7" i="6"/>
  <c r="J7" i="6"/>
  <c r="I7" i="6"/>
  <c r="BG9" i="6"/>
  <c r="AV9" i="6"/>
  <c r="J9" i="6"/>
  <c r="I9" i="6"/>
  <c r="AV4" i="6"/>
  <c r="J4" i="6"/>
  <c r="I4" i="6"/>
  <c r="BH12" i="4" l="1"/>
  <c r="K12" i="4"/>
  <c r="J12" i="4"/>
  <c r="BG9" i="5" l="1"/>
  <c r="J9" i="5"/>
  <c r="I9" i="5"/>
  <c r="BH8" i="4"/>
  <c r="K8" i="4"/>
  <c r="J8" i="4"/>
  <c r="BH7" i="4"/>
  <c r="K7" i="4"/>
  <c r="J7" i="4"/>
  <c r="BH11" i="4"/>
  <c r="K11" i="4"/>
  <c r="J11" i="4"/>
  <c r="BH10" i="4"/>
  <c r="K10" i="4"/>
  <c r="J10" i="4"/>
  <c r="BH9" i="4"/>
  <c r="K9" i="4"/>
  <c r="J9" i="4"/>
  <c r="K6" i="4"/>
  <c r="J6" i="4"/>
  <c r="BH6" i="4"/>
  <c r="I4" i="5" l="1"/>
  <c r="I5" i="5"/>
  <c r="I6" i="5"/>
  <c r="I7" i="5"/>
  <c r="I8" i="5"/>
  <c r="J4" i="5"/>
  <c r="J5" i="5"/>
  <c r="J6" i="5"/>
  <c r="J7" i="5"/>
  <c r="J8" i="5"/>
  <c r="K4" i="4"/>
  <c r="K5" i="4"/>
  <c r="J4" i="4"/>
  <c r="J5" i="4"/>
  <c r="AV3" i="5" l="1"/>
  <c r="BG7" i="5"/>
  <c r="BG5" i="5"/>
  <c r="BG4" i="5"/>
  <c r="BG6" i="5"/>
  <c r="BG8" i="5"/>
  <c r="BH4" i="4"/>
  <c r="BH5" i="4"/>
  <c r="AH1" i="6"/>
  <c r="BG3" i="5"/>
  <c r="J3" i="5"/>
  <c r="I3" i="5"/>
  <c r="AH1" i="5"/>
  <c r="BH3" i="4"/>
  <c r="K3" i="4"/>
  <c r="J3" i="4"/>
  <c r="AI1" i="4"/>
</calcChain>
</file>

<file path=xl/sharedStrings.xml><?xml version="1.0" encoding="utf-8"?>
<sst xmlns="http://schemas.openxmlformats.org/spreadsheetml/2006/main" count="627" uniqueCount="209">
  <si>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</si>
  <si>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</si>
  <si>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</si>
  <si>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</si>
  <si>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</si>
  <si>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</si>
  <si>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</si>
  <si>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</si>
  <si>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</si>
  <si>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</si>
  <si>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</si>
  <si>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</si>
  <si>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</si>
  <si>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</si>
  <si>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</si>
  <si>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</si>
  <si>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</si>
  <si>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</si>
  <si>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</si>
  <si>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</si>
  <si>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</si>
  <si>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</si>
  <si>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</si>
  <si>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</si>
  <si>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</si>
  <si>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</si>
  <si>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</si>
  <si>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</si>
  <si>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</si>
  <si>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</si>
  <si>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</si>
  <si>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</si>
  <si>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</si>
  <si>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</si>
  <si>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</si>
  <si>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</si>
  <si>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</si>
  <si>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</si>
  <si>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</si>
  <si>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</si>
  <si>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</si>
  <si>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</si>
  <si>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</si>
  <si>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</si>
  <si>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</si>
  <si>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</si>
  <si>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</si>
  <si>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</si>
  <si>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</si>
  <si>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</si>
  <si>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</si>
  <si>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</si>
  <si>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</si>
  <si>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</si>
  <si>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</si>
  <si>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</si>
  <si>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</si>
  <si>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</si>
  <si>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</si>
  <si>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</si>
  <si>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</si>
  <si>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</si>
  <si>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</si>
  <si>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</si>
  <si>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</si>
  <si>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</si>
  <si>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</si>
  <si>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</si>
  <si>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</si>
  <si>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</si>
  <si>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</si>
  <si>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</si>
  <si>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SPS</t>
  </si>
  <si>
    <t>stVal</t>
  </si>
  <si>
    <t>BOOLEAN</t>
  </si>
  <si>
    <t>ST</t>
  </si>
  <si>
    <t>M</t>
  </si>
  <si>
    <t>INT32</t>
  </si>
  <si>
    <t>TapOpR</t>
  </si>
  <si>
    <t>TapOpL</t>
  </si>
  <si>
    <t>setVal</t>
  </si>
  <si>
    <t>TapPos</t>
  </si>
  <si>
    <t>INT8</t>
  </si>
  <si>
    <t>FLOAT32</t>
  </si>
  <si>
    <t>мА</t>
  </si>
  <si>
    <t>Control_Inconsistency</t>
  </si>
  <si>
    <t>Translnd</t>
  </si>
  <si>
    <t>Operate</t>
  </si>
  <si>
    <t>BI_EndPosR</t>
  </si>
  <si>
    <t>BI_EndPosL</t>
  </si>
  <si>
    <t>Команда сброса счетчика положений РПН на значение по умолчанию</t>
  </si>
  <si>
    <t>Ctrl_TapPosRs</t>
  </si>
  <si>
    <t>Измеряемая величина тока по интерфейсу 0(4)-20 мА датчика положения РПН</t>
  </si>
  <si>
    <t>I1ma</t>
  </si>
  <si>
    <t>Текущий номер положения РПН</t>
  </si>
  <si>
    <t>Ошибка определения положения РПН</t>
  </si>
  <si>
    <t>TapOpErr</t>
  </si>
  <si>
    <t>EndPosR</t>
  </si>
  <si>
    <t>EndPosL</t>
  </si>
  <si>
    <t>TapDead</t>
  </si>
  <si>
    <t>БлкВерхN</t>
  </si>
  <si>
    <t>BlkEndPosR</t>
  </si>
  <si>
    <t>БлкНижнN</t>
  </si>
  <si>
    <t>BlkEndPosL</t>
  </si>
  <si>
    <t>НапрСчN</t>
  </si>
  <si>
    <t>ТипДатчика</t>
  </si>
  <si>
    <t>МинN</t>
  </si>
  <si>
    <t>IмаМин</t>
  </si>
  <si>
    <t>МаксN</t>
  </si>
  <si>
    <t>IмаМакс</t>
  </si>
  <si>
    <t>Первоначальное значение счетчика положений РПН</t>
  </si>
  <si>
    <t>Straight_Reverse1</t>
  </si>
  <si>
    <t>YLTC</t>
  </si>
  <si>
    <t>ISC</t>
  </si>
  <si>
    <t>valWTr.posVal</t>
  </si>
  <si>
    <t>YLTC1.EndPosL</t>
  </si>
  <si>
    <t>YLTC1.EndPosR</t>
  </si>
  <si>
    <t>ATCC1.TapBlkL</t>
  </si>
  <si>
    <t>ING</t>
  </si>
  <si>
    <t>ATCC1.TapBlkR</t>
  </si>
  <si>
    <t>ATCC1.TapChg</t>
  </si>
  <si>
    <t>maxVal</t>
  </si>
  <si>
    <t>CF</t>
  </si>
  <si>
    <t>minVal</t>
  </si>
  <si>
    <t>ATCC1.TapOpErr</t>
  </si>
  <si>
    <t>0 – Внутренний счетчик, 1 – Токовая петля 4(0)-20 мА, 2 – GOOSE</t>
  </si>
  <si>
    <t>0 – Прямо, 1 – Обратно</t>
  </si>
  <si>
    <t>SG</t>
  </si>
  <si>
    <t>FbVersion</t>
  </si>
  <si>
    <t>CI_TapStVal</t>
  </si>
  <si>
    <t>Вывод терминала</t>
  </si>
  <si>
    <t>Сигнал «идет переключение»</t>
  </si>
  <si>
    <t>Переключение</t>
  </si>
  <si>
    <t>Команда «прибавить» на привод</t>
  </si>
  <si>
    <t>Прибавить в привод</t>
  </si>
  <si>
    <t>Команда «убавить» на привод</t>
  </si>
  <si>
    <t>Убавить в привод</t>
  </si>
  <si>
    <t>Сброс Сч.Полож.</t>
  </si>
  <si>
    <t>N положения РПН</t>
  </si>
  <si>
    <t>Действие АРНТ на привод РПН</t>
  </si>
  <si>
    <t>Работа АРНТ</t>
  </si>
  <si>
    <t>Сигнал с привода «крайнее верхнее положение»</t>
  </si>
  <si>
    <t>Верхнее полож. РПН</t>
  </si>
  <si>
    <t>Сигнал с привода «крайнее нижнее положение»</t>
  </si>
  <si>
    <t>Нижнее полож. РПН</t>
  </si>
  <si>
    <t>N полож</t>
  </si>
  <si>
    <t>Ошибка определения</t>
  </si>
  <si>
    <t>Крайнее верхнее положение РПН</t>
  </si>
  <si>
    <t>Крайн.верх.полож.</t>
  </si>
  <si>
    <t>Крайнее нижнее положение РПН</t>
  </si>
  <si>
    <t>Крайн.нижн.полож.</t>
  </si>
  <si>
    <t>Мертвое положение</t>
  </si>
  <si>
    <t>Блок.Верх.Полож.</t>
  </si>
  <si>
    <t>Блок.Нижн.Полож.</t>
  </si>
  <si>
    <t>Направление счета положений</t>
  </si>
  <si>
    <t>Источник сигнала  положения РПН</t>
  </si>
  <si>
    <t>N по умолчанию</t>
  </si>
  <si>
    <t>Сигнал токовой петли, соответствующий конечному положению РПН</t>
  </si>
  <si>
    <t>Сигнал токовой петли, соответствующий начальному положению РПН</t>
  </si>
  <si>
    <t>Конечное положение РПН</t>
  </si>
  <si>
    <t>Начальное положение РПН</t>
  </si>
  <si>
    <t>Номер пропускаемого положения 1</t>
  </si>
  <si>
    <t>Мертвое положение 1</t>
  </si>
  <si>
    <t>Номер пропускаемого положения 2</t>
  </si>
  <si>
    <t>Номер пропускаемого положения 3</t>
  </si>
  <si>
    <t>Номер пропускаемого положения 4</t>
  </si>
  <si>
    <t>Номер пропускаемого положения 5</t>
  </si>
  <si>
    <t>Мертвое положение 2</t>
  </si>
  <si>
    <t>Мертвое положение 3</t>
  </si>
  <si>
    <t>Мертвое положение 4</t>
  </si>
  <si>
    <t>Мертвое положение 5</t>
  </si>
  <si>
    <t>Положение привода, далее которого блокируются автоматические команды прибавить</t>
  </si>
  <si>
    <t>Положение привода, далее которого блокируются автоматические команды убавить</t>
  </si>
  <si>
    <t>0.01</t>
  </si>
  <si>
    <t>ATCC</t>
  </si>
  <si>
    <t>ATCC1.TapPos</t>
  </si>
  <si>
    <t>BSC</t>
  </si>
  <si>
    <t>Блокировка автоматической команды прибавить по верхнему допустимому положению</t>
  </si>
  <si>
    <t>Блокировка автоматической команды убавить по нижнему допустимому положению</t>
  </si>
  <si>
    <t>_TTCC4</t>
  </si>
  <si>
    <t>АРН</t>
  </si>
  <si>
    <t>Автоматика регулирования напряжения</t>
  </si>
  <si>
    <t>DescriptionFB</t>
  </si>
  <si>
    <t>Автоматика регулирования напряжения трансформатора</t>
  </si>
  <si>
    <t>DescriptionFuncList</t>
  </si>
  <si>
    <t>Привод РПН</t>
  </si>
  <si>
    <t>ATCC1_TapMax</t>
  </si>
  <si>
    <t>ATCC1_TapMin</t>
  </si>
  <si>
    <t>ATCC1_TapBlkR</t>
  </si>
  <si>
    <t>ATCC1_TapBlkL</t>
  </si>
  <si>
    <t>Logger</t>
  </si>
  <si>
    <t>Disturber</t>
  </si>
  <si>
    <t>StartDisturber</t>
  </si>
  <si>
    <t>status</t>
  </si>
  <si>
    <t>reserved1</t>
  </si>
  <si>
    <t>button</t>
  </si>
  <si>
    <t>control</t>
  </si>
  <si>
    <t>input</t>
  </si>
  <si>
    <t>ATCC1_TapDead1</t>
  </si>
  <si>
    <t>ATCC1_TapDead2</t>
  </si>
  <si>
    <t>ATCC1_TapDead3</t>
  </si>
  <si>
    <t>ATCC1_TapDead4</t>
  </si>
  <si>
    <t>ATCC1_TapDead5</t>
  </si>
  <si>
    <t>ATCC1_TapSensor</t>
  </si>
  <si>
    <t>ATCC1_I1ma_min</t>
  </si>
  <si>
    <t>ATCC1_I1ma_max</t>
  </si>
  <si>
    <t>ATCC1_RevCalc</t>
  </si>
  <si>
    <t>AVTR1_defaultTapPos</t>
  </si>
  <si>
    <t>АРНТ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</si>
</sst>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9" fillId="0" borderId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" fillId="8" borderId="0" applyNumberFormat="0" applyBorder="0" applyAlignment="0" applyProtection="0"/>
  </cellStyleXfs>
  <cellXfs count="10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2" fillId="0" borderId="0" xfId="0" applyFont="1" applyFill="1"/>
    <xf numFmtId="0" fontId="3" fillId="0" borderId="0" xfId="0" applyFont="1" applyFill="1"/>
    <xf numFmtId="0" fontId="2" fillId="0" borderId="0" xfId="0" applyFont="1"/>
    <xf numFmtId="0" fontId="3" fillId="9" borderId="2" xfId="0" applyFont="1" applyFill="1" applyBorder="1"/>
    <xf numFmtId="0" fontId="2" fillId="10" borderId="0" xfId="0" applyFont="1" applyFill="1"/>
    <xf numFmtId="0" fontId="10" fillId="5" borderId="2" xfId="3" applyBorder="1" applyAlignment="1">
      <alignment vertical="center"/>
    </xf>
    <xf numFmtId="0" fontId="10" fillId="5" borderId="2" xfId="3" applyBorder="1" applyAlignment="1">
      <alignment horizontal="left" vertical="center" wrapText="1"/>
    </xf>
    <xf numFmtId="0" fontId="10" fillId="5" borderId="1" xfId="3" applyBorder="1" applyAlignment="1">
      <alignment horizontal="left" vertical="center" wrapText="1"/>
    </xf>
    <xf numFmtId="0" fontId="10" fillId="5" borderId="1" xfId="3" applyBorder="1" applyAlignment="1">
      <alignment vertical="center" wrapText="1"/>
    </xf>
    <xf numFmtId="0" fontId="10" fillId="5" borderId="2" xfId="3" applyBorder="1" applyAlignment="1">
      <alignment horizontal="center" vertical="center" wrapText="1"/>
    </xf>
    <xf numFmtId="0" fontId="10" fillId="5" borderId="2" xfId="3" applyBorder="1" applyAlignment="1">
      <alignment horizontal="left" vertical="center"/>
    </xf>
    <xf numFmtId="0" fontId="10" fillId="5" borderId="2" xfId="3" applyBorder="1" applyAlignment="1">
      <alignment horizontal="center" vertical="center"/>
    </xf>
    <xf numFmtId="0" fontId="10" fillId="5" borderId="1" xfId="3" applyBorder="1" applyAlignment="1">
      <alignment horizontal="center" vertical="center"/>
    </xf>
    <xf numFmtId="0" fontId="10" fillId="5" borderId="1" xfId="3" applyBorder="1" applyAlignment="1">
      <alignment horizontal="center" vertical="center" wrapText="1"/>
    </xf>
    <xf numFmtId="0" fontId="10" fillId="5" borderId="2" xfId="3" applyBorder="1" applyAlignment="1">
      <alignment vertical="center" wrapText="1"/>
    </xf>
    <xf numFmtId="0" fontId="10" fillId="5" borderId="0" xfId="3" applyBorder="1" applyAlignment="1">
      <alignment vertical="center" wrapText="1"/>
    </xf>
    <xf numFmtId="0" fontId="10" fillId="5" borderId="0" xfId="3"/>
    <xf numFmtId="0" fontId="11" fillId="6" borderId="2" xfId="4" applyBorder="1" applyAlignment="1">
      <alignment horizontal="center" vertical="center" wrapText="1"/>
    </xf>
    <xf numFmtId="0" fontId="12" fillId="7" borderId="2" xfId="5" applyBorder="1" applyAlignment="1">
      <alignment vertical="center"/>
    </xf>
    <xf numFmtId="0" fontId="12" fillId="7" borderId="2" xfId="5" applyBorder="1" applyAlignment="1">
      <alignment horizontal="center" vertical="center"/>
    </xf>
    <xf numFmtId="0" fontId="12" fillId="7" borderId="1" xfId="5" applyBorder="1" applyAlignment="1">
      <alignment horizontal="left" vertical="center" wrapText="1"/>
    </xf>
    <xf numFmtId="0" fontId="12" fillId="7" borderId="1" xfId="5" applyBorder="1" applyAlignment="1">
      <alignment vertical="center" wrapText="1"/>
    </xf>
    <xf numFmtId="0" fontId="12" fillId="7" borderId="1" xfId="5" applyBorder="1" applyAlignment="1">
      <alignment vertical="center"/>
    </xf>
    <xf numFmtId="0" fontId="12" fillId="7" borderId="1" xfId="5" applyBorder="1" applyAlignment="1">
      <alignment horizontal="left" vertical="center"/>
    </xf>
    <xf numFmtId="0" fontId="12" fillId="7" borderId="1" xfId="5" applyBorder="1" applyAlignment="1">
      <alignment horizontal="center" vertical="center"/>
    </xf>
    <xf numFmtId="0" fontId="12" fillId="7" borderId="2" xfId="5" applyBorder="1" applyAlignment="1">
      <alignment horizontal="left" vertical="center"/>
    </xf>
    <xf numFmtId="0" fontId="12" fillId="7" borderId="2" xfId="5" applyBorder="1" applyAlignment="1">
      <alignment horizontal="right" vertical="center" wrapText="1"/>
    </xf>
    <xf numFmtId="0" fontId="12" fillId="7" borderId="2" xfId="5" applyBorder="1" applyAlignment="1">
      <alignment horizontal="left" vertical="center" wrapText="1"/>
    </xf>
    <xf numFmtId="0" fontId="12" fillId="7" borderId="2" xfId="5" applyBorder="1" applyAlignment="1">
      <alignment horizontal="center" vertical="center" wrapText="1"/>
    </xf>
    <xf numFmtId="0" fontId="12" fillId="7" borderId="1" xfId="5" applyBorder="1" applyAlignment="1">
      <alignment horizontal="center" vertical="center" wrapText="1"/>
    </xf>
    <xf numFmtId="0" fontId="12" fillId="7" borderId="2" xfId="5" applyBorder="1" applyAlignment="1">
      <alignment vertical="center" wrapText="1"/>
    </xf>
    <xf numFmtId="0" fontId="12" fillId="7" borderId="0" xfId="5" applyAlignment="1">
      <alignment vertical="center"/>
    </xf>
    <xf numFmtId="0" fontId="10" fillId="5" borderId="1" xfId="3" applyBorder="1" applyAlignment="1">
      <alignment vertical="center"/>
    </xf>
    <xf numFmtId="0" fontId="10" fillId="5" borderId="2" xfId="3" applyBorder="1" applyAlignment="1">
      <alignment horizontal="right" vertical="center" wrapText="1"/>
    </xf>
    <xf numFmtId="0" fontId="10" fillId="5" borderId="0" xfId="3" applyAlignment="1">
      <alignment vertical="center"/>
    </xf>
    <xf numFmtId="0" fontId="10" fillId="5" borderId="1" xfId="3" applyBorder="1" applyAlignment="1">
      <alignment horizontal="left" vertical="center"/>
    </xf>
    <xf numFmtId="0" fontId="1" fillId="8" borderId="2" xfId="6" applyBorder="1" applyAlignment="1">
      <alignment vertical="center"/>
    </xf>
    <xf numFmtId="0" fontId="1" fillId="8" borderId="2" xfId="6" applyBorder="1" applyAlignment="1">
      <alignment horizontal="left" vertical="center" wrapText="1"/>
    </xf>
    <xf numFmtId="0" fontId="1" fillId="8" borderId="1" xfId="6" applyBorder="1" applyAlignment="1">
      <alignment horizontal="left" vertical="center" wrapText="1"/>
    </xf>
    <xf numFmtId="0" fontId="1" fillId="8" borderId="1" xfId="6" applyBorder="1" applyAlignment="1">
      <alignment vertical="center" wrapText="1"/>
    </xf>
    <xf numFmtId="0" fontId="1" fillId="8" borderId="2" xfId="6" applyBorder="1" applyAlignment="1">
      <alignment horizontal="center" vertical="center" wrapText="1"/>
    </xf>
    <xf numFmtId="0" fontId="1" fillId="8" borderId="2" xfId="6" applyBorder="1" applyAlignment="1">
      <alignment horizontal="left" vertical="center"/>
    </xf>
    <xf numFmtId="0" fontId="1" fillId="8" borderId="2" xfId="6" applyBorder="1" applyAlignment="1">
      <alignment horizontal="center" vertical="center"/>
    </xf>
    <xf numFmtId="0" fontId="1" fillId="8" borderId="1" xfId="6" applyBorder="1" applyAlignment="1">
      <alignment horizontal="center" vertical="center"/>
    </xf>
    <xf numFmtId="0" fontId="1" fillId="8" borderId="1" xfId="6" applyBorder="1" applyAlignment="1">
      <alignment horizontal="center" vertical="center" wrapText="1"/>
    </xf>
    <xf numFmtId="0" fontId="1" fillId="8" borderId="2" xfId="6" applyBorder="1" applyAlignment="1">
      <alignment vertical="center" wrapText="1"/>
    </xf>
    <xf numFmtId="0" fontId="1" fillId="8" borderId="0" xfId="6" applyBorder="1" applyAlignment="1">
      <alignment vertical="center" wrapText="1"/>
    </xf>
    <xf numFmtId="0" fontId="1" fillId="8" borderId="0" xfId="6"/>
    <xf numFmtId="0" fontId="12" fillId="7" borderId="0" xfId="5" applyBorder="1" applyAlignment="1">
      <alignment vertical="center" wrapText="1"/>
    </xf>
    <xf numFmtId="0" fontId="12" fillId="7" borderId="0" xfId="5"/>
    <xf numFmtId="0" fontId="0" fillId="8" borderId="2" xfId="6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</cellXfs>
  <cellStyles count="7">
    <cellStyle name="40% — акцент1" xfId="6" builtinId="31"/>
    <cellStyle name="Нейтральный" xfId="5" builtinId="28"/>
    <cellStyle name="Обычный" xfId="0" builtinId="0"/>
    <cellStyle name="Обычный 2" xfId="1"/>
    <cellStyle name="Обычный 3" xfId="2"/>
    <cellStyle name="Плохой" xfId="4" builtinId="27"/>
    <cellStyle name="Хороший" xfId="3" builtinId="26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0"/>
  <sheetViews>
    <sheetView topLeftCell="A3" zoomScaleNormal="100" workbookViewId="0">
      <selection activeCell="F7" sqref="F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140625" style="1" customWidth="1"/>
    <col min="3" max="3" width="19.140625" style="1" bestFit="1" customWidth="1"/>
    <col min="4" max="4" width="19.7109375" style="1" customWidth="1"/>
    <col min="5" max="5" width="17" style="1" bestFit="1" customWidth="1"/>
    <col min="6" max="6" width="80" style="2" bestFit="1" customWidth="1"/>
    <col min="7" max="8" width="25" style="2" customWidth="1" outlineLevel="1"/>
    <col min="9" max="9" width="20.42578125" style="2" customWidth="1" outlineLevel="1"/>
    <col min="10" max="10" width="10" style="2" customWidth="1"/>
    <col min="11" max="11" width="23.140625" style="2" customWidth="1"/>
    <col min="12" max="12" width="18.7109375" style="2" bestFit="1" customWidth="1"/>
    <col min="13" max="13" width="9.5703125" style="2" bestFit="1" customWidth="1"/>
    <col min="14" max="15" width="13.140625" style="2" customWidth="1" outlineLevel="1"/>
    <col min="16" max="16" width="9.42578125" style="2" bestFit="1" customWidth="1" outlineLevel="1"/>
    <col min="17" max="17" width="16" style="2" bestFit="1" customWidth="1" outlineLevel="1"/>
    <col min="18" max="18" width="18" style="2" bestFit="1" customWidth="1" outlineLevel="1"/>
    <col min="19" max="19" width="6.42578125" style="3" customWidth="1" outlineLevel="1"/>
    <col min="20" max="20" width="10.140625" style="4" bestFit="1" customWidth="1" outlineLevel="1"/>
    <col min="21" max="21" width="10.5703125" style="4" customWidth="1" outlineLevel="1"/>
    <col min="22" max="22" width="7" style="4" customWidth="1" outlineLevel="1"/>
    <col min="23" max="24" width="13.5703125" style="4" customWidth="1" outlineLevel="1"/>
    <col min="25" max="25" width="14.285156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5.5703125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bestFit="1" customWidth="1"/>
    <col min="44" max="44" width="17.425781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18" style="1" bestFit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SUM(AB3:AB47)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23"/>
      <c r="BA1" s="100" t="s">
        <v>0</v>
      </c>
      <c r="BB1" s="101"/>
      <c r="BC1" s="101"/>
      <c r="BD1" s="101"/>
      <c r="BE1" s="101"/>
      <c r="BF1" s="101"/>
      <c r="BG1" s="101"/>
    </row>
    <row r="2" spans="1:16380" s="16" customFormat="1" ht="54" customHeight="1" x14ac:dyDescent="0.25">
      <c r="A2" s="8" t="s">
        <v>1</v>
      </c>
      <c r="B2" s="8" t="s">
        <v>194</v>
      </c>
      <c r="C2" s="9" t="s">
        <v>2</v>
      </c>
      <c r="D2" s="10" t="s">
        <v>3</v>
      </c>
      <c r="E2" s="11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66" t="s">
        <v>190</v>
      </c>
      <c r="AX2" s="66" t="s">
        <v>191</v>
      </c>
      <c r="AY2" s="66" t="s">
        <v>192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6" customFormat="1" ht="15.75" customHeight="1" x14ac:dyDescent="0.25">
      <c r="A3" s="85"/>
      <c r="B3" s="85"/>
      <c r="C3" s="99" t="s">
        <v>196</v>
      </c>
      <c r="D3" s="86"/>
      <c r="E3" s="87"/>
      <c r="F3" s="88" t="s">
        <v>130</v>
      </c>
      <c r="G3" s="88" t="s">
        <v>130</v>
      </c>
      <c r="H3" s="88" t="s">
        <v>130</v>
      </c>
      <c r="I3" s="88"/>
      <c r="J3" s="88">
        <f t="shared" ref="J3:J6" si="0">LEN(G3)</f>
        <v>15</v>
      </c>
      <c r="K3" s="88" t="str">
        <f t="shared" ref="K3:K6" si="1">IF(LEN(G3)&lt;=$K$1,G3,"")</f>
        <v>Вывод терминала</v>
      </c>
      <c r="L3" s="85" t="s">
        <v>71</v>
      </c>
      <c r="M3" s="86" t="s">
        <v>63</v>
      </c>
      <c r="N3" s="86" t="s">
        <v>60</v>
      </c>
      <c r="O3" s="86" t="s">
        <v>61</v>
      </c>
      <c r="P3" s="86"/>
      <c r="Q3" s="89"/>
      <c r="R3" s="89"/>
      <c r="S3" s="86" t="s">
        <v>62</v>
      </c>
      <c r="T3" s="86" t="s">
        <v>62</v>
      </c>
      <c r="U3" s="86" t="s">
        <v>62</v>
      </c>
      <c r="V3" s="86" t="s">
        <v>62</v>
      </c>
      <c r="W3" s="86"/>
      <c r="X3" s="86"/>
      <c r="Y3" s="86" t="s">
        <v>62</v>
      </c>
      <c r="Z3" s="89">
        <v>0</v>
      </c>
      <c r="AA3" s="90"/>
      <c r="AB3" s="91">
        <v>0</v>
      </c>
      <c r="AC3" s="91"/>
      <c r="AD3" s="91"/>
      <c r="AE3" s="91"/>
      <c r="AF3" s="91"/>
      <c r="AG3" s="91">
        <v>0</v>
      </c>
      <c r="AH3" s="91">
        <v>0</v>
      </c>
      <c r="AI3" s="91">
        <v>0</v>
      </c>
      <c r="AJ3" s="92"/>
      <c r="AK3" s="93"/>
      <c r="AL3" s="93"/>
      <c r="AM3" s="93"/>
      <c r="AN3" s="93"/>
      <c r="AO3" s="93"/>
      <c r="AP3" s="93"/>
      <c r="AQ3" s="93"/>
      <c r="AR3" s="93"/>
      <c r="AS3" s="91">
        <v>0</v>
      </c>
      <c r="AT3" s="91">
        <v>0</v>
      </c>
      <c r="AU3" s="91">
        <v>1</v>
      </c>
      <c r="AV3" s="91">
        <v>0</v>
      </c>
      <c r="AW3" s="91">
        <v>1</v>
      </c>
      <c r="AX3" s="91">
        <v>1</v>
      </c>
      <c r="AY3" s="91">
        <v>1</v>
      </c>
      <c r="AZ3" s="91"/>
      <c r="BA3" s="89"/>
      <c r="BB3" s="91"/>
      <c r="BC3" s="91"/>
      <c r="BD3" s="91"/>
      <c r="BE3" s="91"/>
      <c r="BF3" s="91"/>
      <c r="BG3" s="91"/>
      <c r="BH3" s="94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95"/>
    </row>
    <row r="4" spans="1:16380" s="49" customFormat="1" ht="15.75" customHeight="1" x14ac:dyDescent="0.25">
      <c r="A4" s="38"/>
      <c r="B4" s="38"/>
      <c r="C4" s="38" t="s">
        <v>59</v>
      </c>
      <c r="D4" s="39"/>
      <c r="E4" s="36"/>
      <c r="F4" s="40" t="s">
        <v>131</v>
      </c>
      <c r="G4" s="24" t="s">
        <v>132</v>
      </c>
      <c r="H4" s="24" t="s">
        <v>132</v>
      </c>
      <c r="I4" s="40"/>
      <c r="J4" s="40">
        <f t="shared" si="0"/>
        <v>12</v>
      </c>
      <c r="K4" s="40" t="str">
        <f t="shared" si="1"/>
        <v>Переключение</v>
      </c>
      <c r="L4" s="38" t="s">
        <v>86</v>
      </c>
      <c r="M4" s="39" t="s">
        <v>63</v>
      </c>
      <c r="N4" s="39" t="s">
        <v>60</v>
      </c>
      <c r="O4" s="39" t="s">
        <v>61</v>
      </c>
      <c r="P4" s="39"/>
      <c r="Q4" s="35"/>
      <c r="R4" s="35"/>
      <c r="S4" s="39" t="s">
        <v>62</v>
      </c>
      <c r="T4" s="39" t="s">
        <v>62</v>
      </c>
      <c r="U4" s="39" t="s">
        <v>62</v>
      </c>
      <c r="V4" s="39" t="s">
        <v>62</v>
      </c>
      <c r="W4" s="39"/>
      <c r="X4" s="39"/>
      <c r="Y4" s="39" t="s">
        <v>62</v>
      </c>
      <c r="Z4" s="35">
        <v>0</v>
      </c>
      <c r="AA4" s="41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37"/>
      <c r="AK4" s="43"/>
      <c r="AL4" s="43"/>
      <c r="AM4" s="43"/>
      <c r="AN4" s="43"/>
      <c r="AO4" s="43"/>
      <c r="AP4" s="43"/>
      <c r="AQ4" s="43"/>
      <c r="AR4" s="43"/>
      <c r="AS4" s="25">
        <v>0</v>
      </c>
      <c r="AT4" s="25">
        <v>0</v>
      </c>
      <c r="AU4" s="25">
        <v>0</v>
      </c>
      <c r="AV4" s="25">
        <v>0</v>
      </c>
      <c r="AW4" s="25">
        <v>1</v>
      </c>
      <c r="AX4" s="25">
        <v>1</v>
      </c>
      <c r="AY4" s="25">
        <v>1</v>
      </c>
      <c r="AZ4" s="25"/>
      <c r="BA4" s="35"/>
      <c r="BB4" s="25"/>
      <c r="BC4" s="25"/>
      <c r="BD4" s="42"/>
      <c r="BE4" s="25"/>
      <c r="BF4" s="45"/>
      <c r="BG4" s="25"/>
      <c r="BH4" s="46" t="str">
        <f t="shared" ref="BH4:BH5" si="2">CONCATENATE("description: """,G4,"""", ", ", "note: """,F4,"""",", ","group: """, C4, """",", ","minValue: ", T4,", ","maxValue: ", U4,", ","step: ", V4,", ","units: """, S4, """",", ","defaultValue: ", Y4,", ","eventRegistration: ", Z4,)</f>
        <v>description: "Переключение", note: "Сигнал «идет переключение»", group: "measurement", minValue: null, maxValue: null, step: null, units: "null", defaultValue: null, eventRegistration: 0</v>
      </c>
      <c r="BI4" s="47"/>
    </row>
    <row r="5" spans="1:16380" s="49" customFormat="1" ht="15.75" customHeight="1" x14ac:dyDescent="0.25">
      <c r="A5" s="38"/>
      <c r="B5" s="38"/>
      <c r="C5" s="38" t="s">
        <v>59</v>
      </c>
      <c r="D5" s="39"/>
      <c r="E5" s="36"/>
      <c r="F5" s="40" t="s">
        <v>133</v>
      </c>
      <c r="G5" s="24" t="s">
        <v>134</v>
      </c>
      <c r="H5" s="24" t="s">
        <v>134</v>
      </c>
      <c r="I5" s="40"/>
      <c r="J5" s="40">
        <f t="shared" si="0"/>
        <v>18</v>
      </c>
      <c r="K5" s="40" t="str">
        <f t="shared" si="1"/>
        <v>Прибавить в привод</v>
      </c>
      <c r="L5" s="38" t="s">
        <v>78</v>
      </c>
      <c r="M5" s="39" t="s">
        <v>63</v>
      </c>
      <c r="N5" s="39" t="s">
        <v>60</v>
      </c>
      <c r="O5" s="39" t="s">
        <v>61</v>
      </c>
      <c r="P5" s="39"/>
      <c r="Q5" s="35"/>
      <c r="R5" s="35"/>
      <c r="S5" s="39" t="s">
        <v>62</v>
      </c>
      <c r="T5" s="39" t="s">
        <v>62</v>
      </c>
      <c r="U5" s="39" t="s">
        <v>62</v>
      </c>
      <c r="V5" s="39" t="s">
        <v>62</v>
      </c>
      <c r="W5" s="39"/>
      <c r="X5" s="39"/>
      <c r="Y5" s="39" t="s">
        <v>62</v>
      </c>
      <c r="Z5" s="35">
        <v>0</v>
      </c>
      <c r="AA5" s="41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37"/>
      <c r="AK5" s="43"/>
      <c r="AL5" s="43"/>
      <c r="AM5" s="43"/>
      <c r="AN5" s="43"/>
      <c r="AO5" s="43"/>
      <c r="AP5" s="43"/>
      <c r="AQ5" s="43"/>
      <c r="AR5" s="43"/>
      <c r="AS5" s="25">
        <v>0</v>
      </c>
      <c r="AT5" s="25">
        <v>0</v>
      </c>
      <c r="AU5" s="25">
        <v>0</v>
      </c>
      <c r="AV5" s="25">
        <v>0</v>
      </c>
      <c r="AW5" s="25">
        <v>1</v>
      </c>
      <c r="AX5" s="25">
        <v>1</v>
      </c>
      <c r="AY5" s="25">
        <v>1</v>
      </c>
      <c r="AZ5" s="25"/>
      <c r="BA5" s="35"/>
      <c r="BB5" s="25"/>
      <c r="BC5" s="25"/>
      <c r="BD5" s="42"/>
      <c r="BE5" s="25"/>
      <c r="BF5" s="45"/>
      <c r="BG5" s="25"/>
      <c r="BH5" s="46" t="str">
        <f t="shared" si="2"/>
        <v>description: "Прибавить в привод", note: "Команда «прибавить» на привод", group: "measurement", minValue: null, maxValue: null, step: null, units: "null", defaultValue: null, eventRegistration: 0</v>
      </c>
      <c r="BI5" s="47"/>
    </row>
    <row r="6" spans="1:16380" s="49" customFormat="1" ht="15.75" customHeight="1" x14ac:dyDescent="0.25">
      <c r="A6" s="38"/>
      <c r="B6" s="38"/>
      <c r="C6" s="38" t="s">
        <v>59</v>
      </c>
      <c r="D6" s="39"/>
      <c r="E6" s="36"/>
      <c r="F6" s="40" t="s">
        <v>135</v>
      </c>
      <c r="G6" s="24" t="s">
        <v>136</v>
      </c>
      <c r="H6" s="24" t="s">
        <v>136</v>
      </c>
      <c r="I6" s="40"/>
      <c r="J6" s="40">
        <f t="shared" si="0"/>
        <v>16</v>
      </c>
      <c r="K6" s="40" t="str">
        <f t="shared" si="1"/>
        <v>Убавить в привод</v>
      </c>
      <c r="L6" s="38" t="s">
        <v>79</v>
      </c>
      <c r="M6" s="39" t="s">
        <v>63</v>
      </c>
      <c r="N6" s="39" t="s">
        <v>60</v>
      </c>
      <c r="O6" s="39" t="s">
        <v>61</v>
      </c>
      <c r="P6" s="39"/>
      <c r="Q6" s="35"/>
      <c r="R6" s="35"/>
      <c r="S6" s="39" t="s">
        <v>62</v>
      </c>
      <c r="T6" s="39" t="s">
        <v>62</v>
      </c>
      <c r="U6" s="39" t="s">
        <v>62</v>
      </c>
      <c r="V6" s="39" t="s">
        <v>62</v>
      </c>
      <c r="W6" s="39"/>
      <c r="X6" s="39"/>
      <c r="Y6" s="39" t="s">
        <v>62</v>
      </c>
      <c r="Z6" s="35">
        <v>0</v>
      </c>
      <c r="AA6" s="41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37"/>
      <c r="AK6" s="43"/>
      <c r="AL6" s="43"/>
      <c r="AM6" s="43"/>
      <c r="AN6" s="43"/>
      <c r="AO6" s="43"/>
      <c r="AP6" s="43"/>
      <c r="AQ6" s="43"/>
      <c r="AR6" s="43"/>
      <c r="AS6" s="25">
        <v>0</v>
      </c>
      <c r="AT6" s="25">
        <v>0</v>
      </c>
      <c r="AU6" s="25">
        <v>0</v>
      </c>
      <c r="AV6" s="25">
        <v>0</v>
      </c>
      <c r="AW6" s="25">
        <v>1</v>
      </c>
      <c r="AX6" s="25">
        <v>1</v>
      </c>
      <c r="AY6" s="25">
        <v>1</v>
      </c>
      <c r="AZ6" s="25"/>
      <c r="BA6" s="35"/>
      <c r="BB6" s="25"/>
      <c r="BC6" s="25"/>
      <c r="BD6" s="42"/>
      <c r="BE6" s="25"/>
      <c r="BF6" s="45"/>
      <c r="BG6" s="25"/>
      <c r="BH6" s="46" t="str">
        <f t="shared" ref="BH6" si="3">CONCATENATE("description: """,G6,"""", ", ", "note: """,F6,"""",", ","group: """, C6, """",", ","minValue: ", T6,", ","maxValue: ", U6,", ","step: ", V6,", ","units: """, S6, """",", ","defaultValue: ", Y6,", ","eventRegistration: ", Z6,)</f>
        <v>description: "Убавить в привод", note: "Команда «убавить» на привод", group: "measurement", minValue: null, maxValue: null, step: null, units: "null", defaultValue: null, eventRegistration: 0</v>
      </c>
      <c r="BI6" s="47"/>
    </row>
    <row r="7" spans="1:16380" s="96" customFormat="1" ht="15.75" customHeight="1" x14ac:dyDescent="0.25">
      <c r="A7" s="85"/>
      <c r="B7" s="99" t="s">
        <v>195</v>
      </c>
      <c r="C7" s="99" t="s">
        <v>196</v>
      </c>
      <c r="D7" s="86"/>
      <c r="E7" s="87"/>
      <c r="F7" s="88" t="s">
        <v>90</v>
      </c>
      <c r="G7" s="88" t="s">
        <v>137</v>
      </c>
      <c r="H7" s="88" t="s">
        <v>137</v>
      </c>
      <c r="I7" s="88"/>
      <c r="J7" s="88">
        <f t="shared" ref="J7" si="4">LEN(G7)</f>
        <v>15</v>
      </c>
      <c r="K7" s="88" t="str">
        <f t="shared" ref="K7" si="5">IF(LEN(G7)&lt;=$K$1,G7,"")</f>
        <v>Сброс Сч.Полож.</v>
      </c>
      <c r="L7" s="85" t="s">
        <v>91</v>
      </c>
      <c r="M7" s="86" t="s">
        <v>63</v>
      </c>
      <c r="N7" s="86" t="s">
        <v>60</v>
      </c>
      <c r="O7" s="86" t="s">
        <v>61</v>
      </c>
      <c r="P7" s="86"/>
      <c r="Q7" s="89"/>
      <c r="R7" s="89"/>
      <c r="S7" s="86" t="s">
        <v>62</v>
      </c>
      <c r="T7" s="86" t="s">
        <v>62</v>
      </c>
      <c r="U7" s="86" t="s">
        <v>62</v>
      </c>
      <c r="V7" s="86" t="s">
        <v>62</v>
      </c>
      <c r="W7" s="86"/>
      <c r="X7" s="86"/>
      <c r="Y7" s="86" t="s">
        <v>62</v>
      </c>
      <c r="Z7" s="89">
        <v>0</v>
      </c>
      <c r="AA7" s="90"/>
      <c r="AB7" s="91">
        <v>0</v>
      </c>
      <c r="AC7" s="91"/>
      <c r="AD7" s="91"/>
      <c r="AE7" s="91"/>
      <c r="AF7" s="91"/>
      <c r="AG7" s="91">
        <v>0</v>
      </c>
      <c r="AH7" s="91">
        <v>0</v>
      </c>
      <c r="AI7" s="91">
        <v>0</v>
      </c>
      <c r="AJ7" s="92"/>
      <c r="AK7" s="93"/>
      <c r="AL7" s="93"/>
      <c r="AM7" s="93"/>
      <c r="AN7" s="93"/>
      <c r="AO7" s="93"/>
      <c r="AP7" s="93"/>
      <c r="AQ7" s="93"/>
      <c r="AR7" s="93"/>
      <c r="AS7" s="91">
        <v>0</v>
      </c>
      <c r="AT7" s="91">
        <v>0</v>
      </c>
      <c r="AU7" s="91">
        <v>1</v>
      </c>
      <c r="AV7" s="91">
        <v>0</v>
      </c>
      <c r="AW7" s="91">
        <v>1</v>
      </c>
      <c r="AX7" s="91">
        <v>1</v>
      </c>
      <c r="AY7" s="91">
        <v>1</v>
      </c>
      <c r="AZ7" s="91"/>
      <c r="BA7" s="89"/>
      <c r="BB7" s="91"/>
      <c r="BC7" s="91"/>
      <c r="BD7" s="91"/>
      <c r="BE7" s="91"/>
      <c r="BF7" s="91"/>
      <c r="BG7" s="91"/>
      <c r="BH7" s="94" t="str">
        <f t="shared" ref="BH7" si="6">CONCATENATE("description: """,G7,"""", ", ", "note: """,F7,"""",", ","group: """, C7, """",", ","minValue: ", T7,", ","maxValue: ", U7,", ","step: ", V7,", ","units: """, S7, """",", ","defaultValue: ", Y7,", ","eventRegistration: ", Z7,)</f>
        <v>description: "Сброс Сч.Полож.", note: "Команда сброса счетчика положений РПН на значение по умолчанию", group: "control", minValue: null, maxValue: null, step: null, units: "null", defaultValue: null, eventRegistration: 0</v>
      </c>
      <c r="BI7" s="95"/>
    </row>
    <row r="8" spans="1:16380" s="50" customFormat="1" ht="15.75" customHeight="1" x14ac:dyDescent="0.25">
      <c r="A8" s="38"/>
      <c r="B8" s="38"/>
      <c r="C8" s="38" t="s">
        <v>59</v>
      </c>
      <c r="D8" s="39"/>
      <c r="E8" s="36"/>
      <c r="F8" s="40" t="s">
        <v>92</v>
      </c>
      <c r="G8" s="24" t="s">
        <v>93</v>
      </c>
      <c r="H8" s="24" t="s">
        <v>93</v>
      </c>
      <c r="I8" s="40"/>
      <c r="J8" s="40">
        <f t="shared" ref="J8" si="7">LEN(G8)</f>
        <v>4</v>
      </c>
      <c r="K8" s="40" t="str">
        <f t="shared" ref="K8" si="8">IF(LEN(G8)&lt;=$K$1,G8,"")</f>
        <v>I1ma</v>
      </c>
      <c r="L8" s="38" t="s">
        <v>93</v>
      </c>
      <c r="M8" s="39" t="s">
        <v>83</v>
      </c>
      <c r="N8" s="39" t="s">
        <v>60</v>
      </c>
      <c r="O8" s="39" t="s">
        <v>61</v>
      </c>
      <c r="P8" s="39"/>
      <c r="Q8" s="35"/>
      <c r="R8" s="35"/>
      <c r="S8" s="39" t="s">
        <v>84</v>
      </c>
      <c r="T8" s="39" t="s">
        <v>62</v>
      </c>
      <c r="U8" s="39" t="s">
        <v>62</v>
      </c>
      <c r="V8" s="39" t="s">
        <v>62</v>
      </c>
      <c r="W8" s="39"/>
      <c r="X8" s="39"/>
      <c r="Y8" s="39" t="s">
        <v>62</v>
      </c>
      <c r="Z8" s="35">
        <v>0</v>
      </c>
      <c r="AA8" s="41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37"/>
      <c r="AK8" s="48"/>
      <c r="AL8" s="48"/>
      <c r="AM8" s="48"/>
      <c r="AN8" s="48"/>
      <c r="AO8" s="48"/>
      <c r="AP8" s="48"/>
      <c r="AQ8" s="48"/>
      <c r="AR8" s="48"/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>
        <v>0</v>
      </c>
      <c r="AZ8" s="25"/>
      <c r="BA8" s="35"/>
      <c r="BB8" s="25"/>
      <c r="BC8" s="25"/>
      <c r="BD8" s="25"/>
      <c r="BE8" s="25"/>
      <c r="BF8" s="25"/>
      <c r="BG8" s="25"/>
      <c r="BH8" s="46" t="str">
        <f t="shared" ref="BH8" si="9">CONCATENATE("description: """,G8,"""", ", ", "note: """,F8,"""",", ","group: """, C8, """",", ","minValue: ", T8,", ","maxValue: ", U8,", ","step: ", V8,", ","units: """, S8, """",", ","defaultValue: ", Y8,", ","eventRegistration: ", Z8,)</f>
        <v>description: "I1ma", note: "Измеряемая величина тока по интерфейсу 0(4)-20 мА датчика положения РПН", group: "measurement", minValue: null, maxValue: null, step: null, units: "мА", defaultValue: null, eventRegistration: 0</v>
      </c>
      <c r="BI8" s="47"/>
    </row>
    <row r="9" spans="1:16380" s="49" customFormat="1" ht="15.75" customHeight="1" x14ac:dyDescent="0.25">
      <c r="A9" s="38"/>
      <c r="B9" s="38"/>
      <c r="C9" s="38" t="s">
        <v>59</v>
      </c>
      <c r="D9" s="39"/>
      <c r="E9" s="36"/>
      <c r="F9" s="40" t="s">
        <v>94</v>
      </c>
      <c r="G9" s="24" t="s">
        <v>138</v>
      </c>
      <c r="H9" s="24" t="s">
        <v>138</v>
      </c>
      <c r="I9" s="40"/>
      <c r="J9" s="40">
        <f t="shared" ref="J9" si="10">LEN(G9)</f>
        <v>15</v>
      </c>
      <c r="K9" s="40" t="str">
        <f t="shared" ref="K9" si="11">IF(LEN(G9)&lt;=$K$1,G9,"")</f>
        <v>N положения РПН</v>
      </c>
      <c r="L9" s="38" t="s">
        <v>129</v>
      </c>
      <c r="M9" s="39" t="s">
        <v>82</v>
      </c>
      <c r="N9" s="39" t="s">
        <v>60</v>
      </c>
      <c r="O9" s="39" t="s">
        <v>61</v>
      </c>
      <c r="P9" s="39"/>
      <c r="Q9" s="35"/>
      <c r="R9" s="35"/>
      <c r="S9" s="39" t="s">
        <v>62</v>
      </c>
      <c r="T9" s="39" t="s">
        <v>62</v>
      </c>
      <c r="U9" s="39" t="s">
        <v>62</v>
      </c>
      <c r="V9" s="39" t="s">
        <v>62</v>
      </c>
      <c r="W9" s="39"/>
      <c r="X9" s="39"/>
      <c r="Y9" s="39" t="s">
        <v>62</v>
      </c>
      <c r="Z9" s="35">
        <v>0</v>
      </c>
      <c r="AA9" s="41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37"/>
      <c r="AK9" s="43"/>
      <c r="AL9" s="43"/>
      <c r="AM9" s="43"/>
      <c r="AN9" s="43"/>
      <c r="AO9" s="43"/>
      <c r="AP9" s="43"/>
      <c r="AQ9" s="43"/>
      <c r="AR9" s="43"/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f t="shared" ref="AX9" si="12">BIN2DEC(CONCATENATE(0,0,0,0,AT9,AU9,AV9,AW9))</f>
        <v>0</v>
      </c>
      <c r="AY9" s="25">
        <f t="shared" ref="AY9" si="13">BIN2DEC(CONCATENATE(0,0,0,0,AU9,AV9,AW9,AX9))</f>
        <v>0</v>
      </c>
      <c r="AZ9" s="25"/>
      <c r="BA9" s="35"/>
      <c r="BB9" s="25"/>
      <c r="BC9" s="25"/>
      <c r="BD9" s="42"/>
      <c r="BE9" s="25"/>
      <c r="BF9" s="45"/>
      <c r="BG9" s="25"/>
      <c r="BH9" s="46" t="str">
        <f t="shared" ref="BH9" si="14">CONCATENATE("description: """,G9,"""", ", ", "note: """,F9,"""",", ","group: """, C9, """",", ","minValue: ", T9,", ","maxValue: ", U9,", ","step: ", V9,", ","units: """, S9, """",", ","defaultValue: ", Y9,", ","eventRegistration: ", Z9,)</f>
        <v>description: "N положения РПН", note: "Текущий номер положения РПН", group: "measurement", minValue: null, maxValue: null, step: null, units: "null", defaultValue: null, eventRegistration: 0</v>
      </c>
      <c r="BI9" s="47"/>
    </row>
    <row r="10" spans="1:16380" s="49" customFormat="1" ht="15.75" customHeight="1" x14ac:dyDescent="0.25">
      <c r="A10" s="38"/>
      <c r="B10" s="38"/>
      <c r="C10" s="38" t="s">
        <v>59</v>
      </c>
      <c r="D10" s="39"/>
      <c r="E10" s="36"/>
      <c r="F10" s="40" t="s">
        <v>139</v>
      </c>
      <c r="G10" s="24" t="s">
        <v>140</v>
      </c>
      <c r="H10" s="24" t="s">
        <v>140</v>
      </c>
      <c r="I10" s="40"/>
      <c r="J10" s="40">
        <f t="shared" ref="J10:J11" si="15">LEN(G10)</f>
        <v>11</v>
      </c>
      <c r="K10" s="40" t="str">
        <f t="shared" ref="K10:K11" si="16">IF(LEN(G10)&lt;=$K$1,G10,"")</f>
        <v>Работа АРНТ</v>
      </c>
      <c r="L10" s="38" t="s">
        <v>87</v>
      </c>
      <c r="M10" s="39" t="s">
        <v>63</v>
      </c>
      <c r="N10" s="39" t="s">
        <v>60</v>
      </c>
      <c r="O10" s="39" t="s">
        <v>61</v>
      </c>
      <c r="P10" s="39"/>
      <c r="Q10" s="35"/>
      <c r="R10" s="35"/>
      <c r="S10" s="39" t="s">
        <v>62</v>
      </c>
      <c r="T10" s="39" t="s">
        <v>62</v>
      </c>
      <c r="U10" s="39" t="s">
        <v>62</v>
      </c>
      <c r="V10" s="39" t="s">
        <v>62</v>
      </c>
      <c r="W10" s="39"/>
      <c r="X10" s="39"/>
      <c r="Y10" s="39" t="s">
        <v>62</v>
      </c>
      <c r="Z10" s="35">
        <v>0</v>
      </c>
      <c r="AA10" s="41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37"/>
      <c r="AK10" s="43"/>
      <c r="AL10" s="43"/>
      <c r="AM10" s="43"/>
      <c r="AN10" s="43"/>
      <c r="AO10" s="43"/>
      <c r="AP10" s="43"/>
      <c r="AQ10" s="43"/>
      <c r="AR10" s="43"/>
      <c r="AS10" s="25">
        <v>0</v>
      </c>
      <c r="AT10" s="25">
        <v>0</v>
      </c>
      <c r="AU10" s="25">
        <v>0</v>
      </c>
      <c r="AV10" s="25">
        <v>0</v>
      </c>
      <c r="AW10" s="25">
        <v>1</v>
      </c>
      <c r="AX10" s="25">
        <v>1</v>
      </c>
      <c r="AY10" s="25">
        <v>1</v>
      </c>
      <c r="AZ10" s="25"/>
      <c r="BA10" s="35"/>
      <c r="BB10" s="25"/>
      <c r="BC10" s="25"/>
      <c r="BD10" s="42"/>
      <c r="BE10" s="25"/>
      <c r="BF10" s="45"/>
      <c r="BG10" s="25"/>
      <c r="BH10" s="46" t="str">
        <f t="shared" ref="BH10:BH11" si="17">CONCATENATE("description: """,G10,"""", ", ", "note: """,F10,"""",", ","group: """, C10, """",", ","minValue: ", T10,", ","maxValue: ", U10,", ","step: ", V10,", ","units: """, S10, """",", ","defaultValue: ", Y10,", ","eventRegistration: ", Z10,)</f>
        <v>description: "Работа АРНТ", note: "Действие АРНТ на привод РПН", group: "measurement", minValue: null, maxValue: null, step: null, units: "null", defaultValue: null, eventRegistration: 0</v>
      </c>
      <c r="BI10" s="47"/>
    </row>
    <row r="11" spans="1:16380" s="98" customFormat="1" ht="15.75" customHeight="1" x14ac:dyDescent="0.25">
      <c r="A11" s="67"/>
      <c r="B11" s="67"/>
      <c r="C11" s="67" t="s">
        <v>197</v>
      </c>
      <c r="D11" s="76"/>
      <c r="E11" s="69"/>
      <c r="F11" s="70" t="s">
        <v>141</v>
      </c>
      <c r="G11" s="70" t="s">
        <v>142</v>
      </c>
      <c r="H11" s="70" t="s">
        <v>142</v>
      </c>
      <c r="I11" s="70"/>
      <c r="J11" s="70">
        <f t="shared" si="15"/>
        <v>18</v>
      </c>
      <c r="K11" s="70" t="str">
        <f t="shared" si="16"/>
        <v>Верхнее полож. РПН</v>
      </c>
      <c r="L11" s="67" t="s">
        <v>88</v>
      </c>
      <c r="M11" s="76" t="s">
        <v>63</v>
      </c>
      <c r="N11" s="76" t="s">
        <v>60</v>
      </c>
      <c r="O11" s="76" t="s">
        <v>61</v>
      </c>
      <c r="P11" s="76"/>
      <c r="Q11" s="77"/>
      <c r="R11" s="77"/>
      <c r="S11" s="76" t="s">
        <v>62</v>
      </c>
      <c r="T11" s="76" t="s">
        <v>62</v>
      </c>
      <c r="U11" s="76" t="s">
        <v>62</v>
      </c>
      <c r="V11" s="76" t="s">
        <v>62</v>
      </c>
      <c r="W11" s="76"/>
      <c r="X11" s="76"/>
      <c r="Y11" s="76" t="s">
        <v>62</v>
      </c>
      <c r="Z11" s="77">
        <v>0</v>
      </c>
      <c r="AA11" s="74"/>
      <c r="AB11" s="68">
        <v>0</v>
      </c>
      <c r="AC11" s="68"/>
      <c r="AD11" s="68"/>
      <c r="AE11" s="68"/>
      <c r="AF11" s="68"/>
      <c r="AG11" s="68">
        <v>0</v>
      </c>
      <c r="AH11" s="68">
        <v>0</v>
      </c>
      <c r="AI11" s="68">
        <v>0</v>
      </c>
      <c r="AJ11" s="73"/>
      <c r="AK11" s="78"/>
      <c r="AL11" s="78"/>
      <c r="AM11" s="78"/>
      <c r="AN11" s="78"/>
      <c r="AO11" s="78"/>
      <c r="AP11" s="78"/>
      <c r="AQ11" s="78"/>
      <c r="AR11" s="78"/>
      <c r="AS11" s="68">
        <v>0</v>
      </c>
      <c r="AT11" s="68">
        <v>0</v>
      </c>
      <c r="AU11" s="68">
        <v>0</v>
      </c>
      <c r="AV11" s="68">
        <v>0</v>
      </c>
      <c r="AW11" s="68">
        <v>1</v>
      </c>
      <c r="AX11" s="68">
        <v>1</v>
      </c>
      <c r="AY11" s="68">
        <v>1</v>
      </c>
      <c r="AZ11" s="68"/>
      <c r="BA11" s="77"/>
      <c r="BB11" s="68"/>
      <c r="BC11" s="68"/>
      <c r="BD11" s="68"/>
      <c r="BE11" s="68"/>
      <c r="BF11" s="68"/>
      <c r="BG11" s="68"/>
      <c r="BH11" s="79" t="str">
        <f t="shared" si="17"/>
        <v>description: "Верхнее полож. РПН", note: "Сигнал с привода «крайнее верхнее положение»", group: "input", minValue: null, maxValue: null, step: null, units: "null", defaultValue: null, eventRegistration: 0</v>
      </c>
      <c r="BI11" s="97"/>
    </row>
    <row r="12" spans="1:16380" s="98" customFormat="1" ht="15.75" customHeight="1" x14ac:dyDescent="0.25">
      <c r="A12" s="67"/>
      <c r="B12" s="67"/>
      <c r="C12" s="67" t="s">
        <v>197</v>
      </c>
      <c r="D12" s="76"/>
      <c r="E12" s="69"/>
      <c r="F12" s="70" t="s">
        <v>143</v>
      </c>
      <c r="G12" s="70" t="s">
        <v>144</v>
      </c>
      <c r="H12" s="70" t="s">
        <v>144</v>
      </c>
      <c r="I12" s="70"/>
      <c r="J12" s="70">
        <f t="shared" ref="J12" si="18">LEN(G12)</f>
        <v>17</v>
      </c>
      <c r="K12" s="70" t="str">
        <f t="shared" ref="K12" si="19">IF(LEN(G12)&lt;=$K$1,G12,"")</f>
        <v>Нижнее полож. РПН</v>
      </c>
      <c r="L12" s="67" t="s">
        <v>89</v>
      </c>
      <c r="M12" s="76" t="s">
        <v>63</v>
      </c>
      <c r="N12" s="76" t="s">
        <v>60</v>
      </c>
      <c r="O12" s="76" t="s">
        <v>61</v>
      </c>
      <c r="P12" s="76"/>
      <c r="Q12" s="77"/>
      <c r="R12" s="77"/>
      <c r="S12" s="76" t="s">
        <v>62</v>
      </c>
      <c r="T12" s="76" t="s">
        <v>62</v>
      </c>
      <c r="U12" s="76" t="s">
        <v>62</v>
      </c>
      <c r="V12" s="76" t="s">
        <v>62</v>
      </c>
      <c r="W12" s="76"/>
      <c r="X12" s="76"/>
      <c r="Y12" s="76" t="s">
        <v>62</v>
      </c>
      <c r="Z12" s="77">
        <v>0</v>
      </c>
      <c r="AA12" s="74"/>
      <c r="AB12" s="68">
        <v>0</v>
      </c>
      <c r="AC12" s="68"/>
      <c r="AD12" s="68"/>
      <c r="AE12" s="68"/>
      <c r="AF12" s="68"/>
      <c r="AG12" s="68">
        <v>0</v>
      </c>
      <c r="AH12" s="68">
        <v>0</v>
      </c>
      <c r="AI12" s="68">
        <v>0</v>
      </c>
      <c r="AJ12" s="73"/>
      <c r="AK12" s="78"/>
      <c r="AL12" s="78"/>
      <c r="AM12" s="78"/>
      <c r="AN12" s="78"/>
      <c r="AO12" s="78"/>
      <c r="AP12" s="78"/>
      <c r="AQ12" s="78"/>
      <c r="AR12" s="78"/>
      <c r="AS12" s="68">
        <v>0</v>
      </c>
      <c r="AT12" s="68">
        <v>0</v>
      </c>
      <c r="AU12" s="68">
        <v>0</v>
      </c>
      <c r="AV12" s="68">
        <v>0</v>
      </c>
      <c r="AW12" s="68">
        <v>1</v>
      </c>
      <c r="AX12" s="68">
        <v>1</v>
      </c>
      <c r="AY12" s="68">
        <v>1</v>
      </c>
      <c r="AZ12" s="68"/>
      <c r="BA12" s="77"/>
      <c r="BB12" s="68"/>
      <c r="BC12" s="68"/>
      <c r="BD12" s="68"/>
      <c r="BE12" s="68"/>
      <c r="BF12" s="68"/>
      <c r="BG12" s="68"/>
      <c r="BH12" s="79" t="str">
        <f t="shared" ref="BH12" si="20">CONCATENATE("description: """,G12,"""", ", ", "note: """,F12,"""",", ","group: """, C12, """",", ","minValue: ", T12,", ","maxValue: ", U12,", ","step: ", V12,", ","units: """, S12, """",", ","defaultValue: ", Y12,", ","eventRegistration: ", Z12,)</f>
        <v>description: "Нижнее полож. РПН", note: "Сигнал с привода «крайнее нижнее положение»", group: "input", minValue: null, maxValue: null, step: null, units: "null", defaultValue: null, eventRegistration: 0</v>
      </c>
      <c r="BI12" s="97"/>
    </row>
    <row r="13" spans="1:16380" s="2" customFormat="1" ht="15.75" x14ac:dyDescent="0.25">
      <c r="A13" s="1"/>
      <c r="B13" s="1"/>
      <c r="C13" s="1"/>
      <c r="D13" s="1"/>
      <c r="E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8"/>
      <c r="BD13" s="4"/>
      <c r="BE13" s="1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E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E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E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E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E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E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E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E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E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E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E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E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E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E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E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E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E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E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E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E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E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E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E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18"/>
      <c r="BD185" s="4"/>
      <c r="BE185" s="1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18"/>
      <c r="BD186" s="4"/>
      <c r="BE186" s="1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18"/>
      <c r="BD187" s="4"/>
      <c r="BE187" s="1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18"/>
      <c r="BD188" s="4"/>
      <c r="BE188" s="1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18"/>
      <c r="BD189" s="4"/>
      <c r="BE189" s="1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18"/>
      <c r="BD190" s="4"/>
      <c r="BE190" s="18"/>
      <c r="BF190" s="4"/>
      <c r="BG190" s="4"/>
      <c r="BH190" s="1"/>
      <c r="BI19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Normal="100" workbookViewId="0">
      <selection activeCell="B12" sqref="B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6" style="2" bestFit="1" customWidth="1"/>
    <col min="6" max="7" width="22.7109375" style="2" customWidth="1" outlineLevel="1"/>
    <col min="8" max="8" width="19.42578125" style="2" customWidth="1" outlineLevel="1"/>
    <col min="9" max="9" width="7.28515625" style="2" bestFit="1" customWidth="1"/>
    <col min="10" max="10" width="22" style="2" customWidth="1"/>
    <col min="11" max="11" width="11.85546875" style="2" bestFit="1" customWidth="1"/>
    <col min="12" max="12" width="9.42578125" style="2" customWidth="1"/>
    <col min="13" max="14" width="13.42578125" style="2" hidden="1" customWidth="1" outlineLevel="1"/>
    <col min="15" max="15" width="8.85546875" style="2" hidden="1" customWidth="1" outlineLevel="1"/>
    <col min="16" max="17" width="19" style="2" hidden="1" customWidth="1" outlineLevel="1"/>
    <col min="18" max="18" width="7.85546875" style="3" hidden="1" customWidth="1" outlineLevel="1"/>
    <col min="19" max="19" width="10.140625" style="4" hidden="1" customWidth="1" outlineLevel="1"/>
    <col min="20" max="20" width="12" style="4" hidden="1" customWidth="1" outlineLevel="1"/>
    <col min="21" max="21" width="6.42578125" style="4" hidden="1" customWidth="1" outlineLevel="1"/>
    <col min="22" max="23" width="13.5703125" style="4" hidden="1" customWidth="1" outlineLevel="1"/>
    <col min="24" max="24" width="14.85546875" style="4" hidden="1" customWidth="1" outlineLevel="1"/>
    <col min="25" max="25" width="9.7109375" style="4" customWidth="1" collapsed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7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100" t="s">
        <v>0</v>
      </c>
      <c r="BA1" s="101"/>
      <c r="BB1" s="101"/>
      <c r="BC1" s="101"/>
      <c r="BD1" s="101"/>
      <c r="BE1" s="101"/>
      <c r="BF1" s="101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6" t="s">
        <v>190</v>
      </c>
      <c r="AW2" s="66" t="s">
        <v>191</v>
      </c>
      <c r="AX2" s="66" t="s">
        <v>192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3" customFormat="1" ht="15" x14ac:dyDescent="0.25">
      <c r="A3" s="54"/>
      <c r="B3" s="54" t="s">
        <v>193</v>
      </c>
      <c r="C3" s="60"/>
      <c r="D3" s="56" t="s">
        <v>180</v>
      </c>
      <c r="E3" s="57" t="s">
        <v>94</v>
      </c>
      <c r="F3" s="81" t="s">
        <v>145</v>
      </c>
      <c r="G3" s="81" t="s">
        <v>145</v>
      </c>
      <c r="H3" s="61"/>
      <c r="I3" s="57">
        <f t="shared" ref="I3:I8" si="0">LEN(F3)</f>
        <v>7</v>
      </c>
      <c r="J3" s="57" t="str">
        <f t="shared" ref="J3:J8" si="1">IF(LEN(F3)&lt;=$J$1,F3,"")</f>
        <v>N полож</v>
      </c>
      <c r="K3" s="59" t="s">
        <v>81</v>
      </c>
      <c r="L3" s="82" t="s">
        <v>82</v>
      </c>
      <c r="M3" s="55" t="s">
        <v>60</v>
      </c>
      <c r="N3" s="55" t="s">
        <v>61</v>
      </c>
      <c r="O3" s="55"/>
      <c r="P3" s="58"/>
      <c r="Q3" s="58"/>
      <c r="R3" s="55" t="s">
        <v>62</v>
      </c>
      <c r="S3" s="55" t="s">
        <v>62</v>
      </c>
      <c r="T3" s="55" t="s">
        <v>62</v>
      </c>
      <c r="U3" s="55" t="s">
        <v>62</v>
      </c>
      <c r="V3" s="60"/>
      <c r="W3" s="60"/>
      <c r="X3" s="55" t="s">
        <v>62</v>
      </c>
      <c r="Y3" s="55">
        <v>2</v>
      </c>
      <c r="Z3" s="60"/>
      <c r="AA3" s="60">
        <v>0</v>
      </c>
      <c r="AB3" s="60"/>
      <c r="AC3" s="60"/>
      <c r="AD3" s="60"/>
      <c r="AE3" s="60"/>
      <c r="AF3" s="60">
        <v>0</v>
      </c>
      <c r="AG3" s="60">
        <v>0</v>
      </c>
      <c r="AH3" s="60">
        <v>0</v>
      </c>
      <c r="AI3" s="61" t="s">
        <v>174</v>
      </c>
      <c r="AJ3" s="62" t="s">
        <v>175</v>
      </c>
      <c r="AK3" s="62" t="s">
        <v>113</v>
      </c>
      <c r="AL3" s="62" t="s">
        <v>114</v>
      </c>
      <c r="AM3" s="58" t="s">
        <v>82</v>
      </c>
      <c r="AN3" s="62"/>
      <c r="AO3" s="62" t="s">
        <v>75</v>
      </c>
      <c r="AP3" s="62" t="str">
        <f>CONCATENATE( AJ3, ".", AL3)</f>
        <v>ATCC1.TapPos.valWTr.posVal</v>
      </c>
      <c r="AQ3" s="62" t="s">
        <v>76</v>
      </c>
      <c r="AR3" s="60">
        <v>0</v>
      </c>
      <c r="AS3" s="60">
        <v>0</v>
      </c>
      <c r="AT3" s="60">
        <v>0</v>
      </c>
      <c r="AU3" s="60">
        <v>0</v>
      </c>
      <c r="AV3" s="60">
        <f>BIN2DEC(CONCATENATE(0,0,0,0,AR3,AS3,AT3,AU3))</f>
        <v>0</v>
      </c>
      <c r="AW3" s="60">
        <v>0</v>
      </c>
      <c r="AX3" s="60">
        <v>0</v>
      </c>
      <c r="AY3" s="58"/>
      <c r="AZ3" s="60"/>
      <c r="BA3" s="60"/>
      <c r="BB3" s="60"/>
      <c r="BC3" s="60"/>
      <c r="BD3" s="60"/>
      <c r="BE3" s="60"/>
      <c r="BF3" s="60"/>
      <c r="BG3" s="63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"N полож", note: "Текущий номер положения РПН", group: "status", minValue: null, maxValue: null, step: null, units: "null", defaultValue: null, eventRegistration: 2</v>
      </c>
    </row>
    <row r="4" spans="1:16379" s="83" customFormat="1" ht="15" x14ac:dyDescent="0.25">
      <c r="A4" s="54"/>
      <c r="B4" s="54" t="s">
        <v>193</v>
      </c>
      <c r="C4" s="60"/>
      <c r="D4" s="56" t="s">
        <v>180</v>
      </c>
      <c r="E4" s="57" t="s">
        <v>95</v>
      </c>
      <c r="F4" s="81" t="s">
        <v>146</v>
      </c>
      <c r="G4" s="84" t="s">
        <v>146</v>
      </c>
      <c r="H4" s="61"/>
      <c r="I4" s="57">
        <f t="shared" si="0"/>
        <v>18</v>
      </c>
      <c r="J4" s="57" t="str">
        <f t="shared" si="1"/>
        <v>Ошибка определения</v>
      </c>
      <c r="K4" s="59" t="s">
        <v>96</v>
      </c>
      <c r="L4" s="82" t="s">
        <v>63</v>
      </c>
      <c r="M4" s="55" t="s">
        <v>60</v>
      </c>
      <c r="N4" s="55" t="s">
        <v>61</v>
      </c>
      <c r="O4" s="55"/>
      <c r="P4" s="58"/>
      <c r="Q4" s="58"/>
      <c r="R4" s="55" t="s">
        <v>62</v>
      </c>
      <c r="S4" s="55" t="s">
        <v>62</v>
      </c>
      <c r="T4" s="55" t="s">
        <v>62</v>
      </c>
      <c r="U4" s="55" t="s">
        <v>62</v>
      </c>
      <c r="V4" s="60"/>
      <c r="W4" s="60"/>
      <c r="X4" s="55" t="s">
        <v>62</v>
      </c>
      <c r="Y4" s="55">
        <v>2</v>
      </c>
      <c r="Z4" s="60"/>
      <c r="AA4" s="60">
        <v>0</v>
      </c>
      <c r="AB4" s="60"/>
      <c r="AC4" s="60"/>
      <c r="AD4" s="60"/>
      <c r="AE4" s="60"/>
      <c r="AF4" s="60">
        <v>0</v>
      </c>
      <c r="AG4" s="60">
        <v>0</v>
      </c>
      <c r="AH4" s="60">
        <v>0</v>
      </c>
      <c r="AI4" s="61" t="s">
        <v>174</v>
      </c>
      <c r="AJ4" s="62" t="s">
        <v>124</v>
      </c>
      <c r="AK4" s="62" t="s">
        <v>72</v>
      </c>
      <c r="AL4" s="62" t="s">
        <v>73</v>
      </c>
      <c r="AM4" s="62" t="s">
        <v>74</v>
      </c>
      <c r="AN4" s="62"/>
      <c r="AO4" s="62" t="s">
        <v>75</v>
      </c>
      <c r="AP4" s="62" t="str">
        <f>CONCATENATE( AJ4, ".", AL4)</f>
        <v>ATCC1.TapOpErr.stVal</v>
      </c>
      <c r="AQ4" s="62" t="s">
        <v>76</v>
      </c>
      <c r="AR4" s="60">
        <v>0</v>
      </c>
      <c r="AS4" s="60">
        <v>1</v>
      </c>
      <c r="AT4" s="60">
        <v>0</v>
      </c>
      <c r="AU4" s="60">
        <v>1</v>
      </c>
      <c r="AV4" s="60">
        <v>1</v>
      </c>
      <c r="AW4" s="60">
        <v>1</v>
      </c>
      <c r="AX4" s="60">
        <v>1</v>
      </c>
      <c r="AY4" s="58"/>
      <c r="AZ4" s="60"/>
      <c r="BA4" s="60"/>
      <c r="BB4" s="60"/>
      <c r="BC4" s="60"/>
      <c r="BD4" s="60"/>
      <c r="BE4" s="60"/>
      <c r="BF4" s="60"/>
      <c r="BG4" s="63" t="str">
        <f t="shared" si="2"/>
        <v>description: "Ошибка определения", note: "Ошибка определения положения РПН", group: "status", minValue: null, maxValue: null, step: null, units: "null", defaultValue: null, eventRegistration: 2</v>
      </c>
    </row>
    <row r="5" spans="1:16379" s="80" customFormat="1" ht="16.5" customHeight="1" x14ac:dyDescent="0.25">
      <c r="A5" s="67"/>
      <c r="B5" s="67" t="s">
        <v>193</v>
      </c>
      <c r="C5" s="68"/>
      <c r="D5" s="69" t="s">
        <v>185</v>
      </c>
      <c r="E5" s="70" t="s">
        <v>147</v>
      </c>
      <c r="F5" s="71" t="s">
        <v>148</v>
      </c>
      <c r="G5" s="72" t="s">
        <v>148</v>
      </c>
      <c r="H5" s="73"/>
      <c r="I5" s="70">
        <f t="shared" si="0"/>
        <v>17</v>
      </c>
      <c r="J5" s="70" t="str">
        <f t="shared" si="1"/>
        <v>Крайн.верх.полож.</v>
      </c>
      <c r="K5" s="74" t="s">
        <v>97</v>
      </c>
      <c r="L5" s="75" t="s">
        <v>63</v>
      </c>
      <c r="M5" s="76" t="s">
        <v>60</v>
      </c>
      <c r="N5" s="76" t="s">
        <v>61</v>
      </c>
      <c r="O5" s="76"/>
      <c r="P5" s="77"/>
      <c r="Q5" s="77"/>
      <c r="R5" s="76" t="s">
        <v>62</v>
      </c>
      <c r="S5" s="76" t="s">
        <v>62</v>
      </c>
      <c r="T5" s="76" t="s">
        <v>62</v>
      </c>
      <c r="U5" s="76" t="s">
        <v>62</v>
      </c>
      <c r="V5" s="68"/>
      <c r="W5" s="68"/>
      <c r="X5" s="76" t="s">
        <v>62</v>
      </c>
      <c r="Y5" s="76">
        <v>2</v>
      </c>
      <c r="Z5" s="68"/>
      <c r="AA5" s="68">
        <v>0</v>
      </c>
      <c r="AB5" s="68"/>
      <c r="AC5" s="68"/>
      <c r="AD5" s="68"/>
      <c r="AE5" s="68"/>
      <c r="AF5" s="68">
        <v>0</v>
      </c>
      <c r="AG5" s="68">
        <v>0</v>
      </c>
      <c r="AH5" s="68">
        <v>0</v>
      </c>
      <c r="AI5" s="73" t="s">
        <v>112</v>
      </c>
      <c r="AJ5" s="78" t="s">
        <v>116</v>
      </c>
      <c r="AK5" s="78" t="s">
        <v>72</v>
      </c>
      <c r="AL5" s="78" t="s">
        <v>73</v>
      </c>
      <c r="AM5" s="77" t="s">
        <v>74</v>
      </c>
      <c r="AN5" s="78"/>
      <c r="AO5" s="78" t="s">
        <v>75</v>
      </c>
      <c r="AP5" s="78" t="str">
        <f t="shared" ref="AP5:AP6" si="3">CONCATENATE( AJ5, ".", AL5)</f>
        <v>YLTC1.EndPosR.stVal</v>
      </c>
      <c r="AQ5" s="78" t="s">
        <v>76</v>
      </c>
      <c r="AR5" s="68">
        <v>0</v>
      </c>
      <c r="AS5" s="68">
        <v>1</v>
      </c>
      <c r="AT5" s="68">
        <v>0</v>
      </c>
      <c r="AU5" s="60">
        <v>1</v>
      </c>
      <c r="AV5" s="60">
        <v>1</v>
      </c>
      <c r="AW5" s="60">
        <v>1</v>
      </c>
      <c r="AX5" s="60">
        <v>1</v>
      </c>
      <c r="AY5" s="77"/>
      <c r="AZ5" s="68"/>
      <c r="BA5" s="68"/>
      <c r="BB5" s="68"/>
      <c r="BC5" s="68"/>
      <c r="BD5" s="68"/>
      <c r="BE5" s="68"/>
      <c r="BF5" s="68"/>
      <c r="BG5" s="79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"Крайн.верх.полож.", note: "Крайнее верхнее положение РПН", group: "status", minValue: null, maxValue: null, step: null, units: "null", defaultValue: null, eventRegistration: 2</v>
      </c>
    </row>
    <row r="6" spans="1:16379" s="80" customFormat="1" ht="15.75" customHeight="1" x14ac:dyDescent="0.25">
      <c r="A6" s="67"/>
      <c r="B6" s="67" t="s">
        <v>193</v>
      </c>
      <c r="C6" s="76"/>
      <c r="D6" s="69" t="s">
        <v>185</v>
      </c>
      <c r="E6" s="70" t="s">
        <v>149</v>
      </c>
      <c r="F6" s="70" t="s">
        <v>150</v>
      </c>
      <c r="G6" s="70" t="s">
        <v>150</v>
      </c>
      <c r="H6" s="70"/>
      <c r="I6" s="70">
        <f t="shared" si="0"/>
        <v>17</v>
      </c>
      <c r="J6" s="70" t="str">
        <f t="shared" si="1"/>
        <v>Крайн.нижн.полож.</v>
      </c>
      <c r="K6" s="67" t="s">
        <v>98</v>
      </c>
      <c r="L6" s="75" t="s">
        <v>63</v>
      </c>
      <c r="M6" s="76" t="s">
        <v>60</v>
      </c>
      <c r="N6" s="76" t="s">
        <v>61</v>
      </c>
      <c r="O6" s="76"/>
      <c r="P6" s="77"/>
      <c r="Q6" s="77"/>
      <c r="R6" s="76" t="s">
        <v>62</v>
      </c>
      <c r="S6" s="76" t="s">
        <v>62</v>
      </c>
      <c r="T6" s="76" t="s">
        <v>62</v>
      </c>
      <c r="U6" s="76" t="s">
        <v>62</v>
      </c>
      <c r="V6" s="76"/>
      <c r="W6" s="76"/>
      <c r="X6" s="76" t="s">
        <v>62</v>
      </c>
      <c r="Y6" s="76">
        <v>2</v>
      </c>
      <c r="Z6" s="74"/>
      <c r="AA6" s="68">
        <v>0</v>
      </c>
      <c r="AB6" s="68"/>
      <c r="AC6" s="68"/>
      <c r="AD6" s="68"/>
      <c r="AE6" s="68"/>
      <c r="AF6" s="68">
        <v>0</v>
      </c>
      <c r="AG6" s="68">
        <v>0</v>
      </c>
      <c r="AH6" s="68">
        <v>0</v>
      </c>
      <c r="AI6" s="73" t="s">
        <v>112</v>
      </c>
      <c r="AJ6" s="78" t="s">
        <v>115</v>
      </c>
      <c r="AK6" s="78" t="s">
        <v>72</v>
      </c>
      <c r="AL6" s="78" t="s">
        <v>73</v>
      </c>
      <c r="AM6" s="77" t="s">
        <v>74</v>
      </c>
      <c r="AN6" s="78"/>
      <c r="AO6" s="78" t="s">
        <v>75</v>
      </c>
      <c r="AP6" s="78" t="str">
        <f t="shared" si="3"/>
        <v>YLTC1.EndPosL.stVal</v>
      </c>
      <c r="AQ6" s="78" t="s">
        <v>76</v>
      </c>
      <c r="AR6" s="68">
        <v>0</v>
      </c>
      <c r="AS6" s="68">
        <v>1</v>
      </c>
      <c r="AT6" s="68">
        <v>0</v>
      </c>
      <c r="AU6" s="60">
        <v>1</v>
      </c>
      <c r="AV6" s="60">
        <v>1</v>
      </c>
      <c r="AW6" s="60">
        <v>1</v>
      </c>
      <c r="AX6" s="60">
        <v>1</v>
      </c>
      <c r="AY6" s="77"/>
      <c r="AZ6" s="68"/>
      <c r="BA6" s="68"/>
      <c r="BB6" s="68"/>
      <c r="BC6" s="68"/>
      <c r="BD6" s="68"/>
      <c r="BE6" s="68"/>
      <c r="BF6" s="68"/>
      <c r="BG6" s="79" t="str">
        <f t="shared" si="2"/>
        <v>description: "Крайн.нижн.полож.", note: "Крайнее нижнее положение РПН", group: "status", minValue: null, maxValue: null, step: null, units: "null", defaultValue: null, eventRegistration: 2</v>
      </c>
    </row>
    <row r="7" spans="1:16379" s="32" customFormat="1" ht="15.75" x14ac:dyDescent="0.25">
      <c r="A7" s="26"/>
      <c r="B7" s="26" t="s">
        <v>193</v>
      </c>
      <c r="C7" s="27"/>
      <c r="D7" s="56" t="s">
        <v>180</v>
      </c>
      <c r="E7" s="24" t="s">
        <v>151</v>
      </c>
      <c r="F7" s="24" t="s">
        <v>151</v>
      </c>
      <c r="G7" s="24" t="s">
        <v>151</v>
      </c>
      <c r="H7" s="24"/>
      <c r="I7" s="24">
        <f t="shared" si="0"/>
        <v>17</v>
      </c>
      <c r="J7" s="24" t="str">
        <f t="shared" si="1"/>
        <v>Мертвое положение</v>
      </c>
      <c r="K7" s="26" t="s">
        <v>99</v>
      </c>
      <c r="L7" s="28" t="s">
        <v>63</v>
      </c>
      <c r="M7" s="27" t="s">
        <v>60</v>
      </c>
      <c r="N7" s="27" t="s">
        <v>61</v>
      </c>
      <c r="O7" s="27"/>
      <c r="P7" s="34"/>
      <c r="Q7" s="34"/>
      <c r="R7" s="27" t="s">
        <v>62</v>
      </c>
      <c r="S7" s="27" t="s">
        <v>62</v>
      </c>
      <c r="T7" s="27" t="s">
        <v>62</v>
      </c>
      <c r="U7" s="27" t="s">
        <v>62</v>
      </c>
      <c r="V7" s="27"/>
      <c r="W7" s="27"/>
      <c r="X7" s="27" t="s">
        <v>62</v>
      </c>
      <c r="Y7" s="27">
        <v>2</v>
      </c>
      <c r="Z7" s="29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37"/>
      <c r="AJ7" s="33"/>
      <c r="AK7" s="33"/>
      <c r="AL7" s="33"/>
      <c r="AM7" s="33"/>
      <c r="AN7" s="33"/>
      <c r="AO7" s="33"/>
      <c r="AP7" s="33"/>
      <c r="AQ7" s="33"/>
      <c r="AR7" s="30">
        <v>0</v>
      </c>
      <c r="AS7" s="30">
        <v>1</v>
      </c>
      <c r="AT7" s="30">
        <v>0</v>
      </c>
      <c r="AU7" s="60">
        <v>1</v>
      </c>
      <c r="AV7" s="60">
        <v>1</v>
      </c>
      <c r="AW7" s="60">
        <v>1</v>
      </c>
      <c r="AX7" s="60">
        <v>1</v>
      </c>
      <c r="AY7" s="34"/>
      <c r="AZ7" s="30"/>
      <c r="BA7" s="30"/>
      <c r="BB7" s="30"/>
      <c r="BC7" s="30"/>
      <c r="BD7" s="30"/>
      <c r="BE7" s="30"/>
      <c r="BF7" s="30"/>
      <c r="BG7" s="31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"Мертвое положение", note: "Мертвое положение", group: "status", minValue: null, maxValue: null, step: null, units: "null", defaultValue: null, eventRegistration: 2</v>
      </c>
    </row>
    <row r="8" spans="1:16379" s="32" customFormat="1" ht="17.25" customHeight="1" x14ac:dyDescent="0.25">
      <c r="A8" s="26"/>
      <c r="B8" s="26" t="s">
        <v>193</v>
      </c>
      <c r="C8" s="27"/>
      <c r="D8" s="56" t="s">
        <v>180</v>
      </c>
      <c r="E8" s="24" t="s">
        <v>177</v>
      </c>
      <c r="F8" s="24" t="s">
        <v>152</v>
      </c>
      <c r="G8" s="24" t="s">
        <v>152</v>
      </c>
      <c r="H8" s="24"/>
      <c r="I8" s="24">
        <f t="shared" si="0"/>
        <v>16</v>
      </c>
      <c r="J8" s="24" t="str">
        <f t="shared" si="1"/>
        <v>Блок.Верх.Полож.</v>
      </c>
      <c r="K8" s="26" t="s">
        <v>101</v>
      </c>
      <c r="L8" s="28" t="s">
        <v>63</v>
      </c>
      <c r="M8" s="27" t="s">
        <v>60</v>
      </c>
      <c r="N8" s="27" t="s">
        <v>61</v>
      </c>
      <c r="O8" s="27"/>
      <c r="P8" s="34"/>
      <c r="Q8" s="34"/>
      <c r="R8" s="27" t="s">
        <v>62</v>
      </c>
      <c r="S8" s="27" t="s">
        <v>62</v>
      </c>
      <c r="T8" s="27" t="s">
        <v>62</v>
      </c>
      <c r="U8" s="27" t="s">
        <v>62</v>
      </c>
      <c r="V8" s="27"/>
      <c r="W8" s="27"/>
      <c r="X8" s="27" t="s">
        <v>62</v>
      </c>
      <c r="Y8" s="27">
        <v>2</v>
      </c>
      <c r="Z8" s="29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37"/>
      <c r="AJ8" s="33"/>
      <c r="AK8" s="33"/>
      <c r="AL8" s="33"/>
      <c r="AM8" s="33"/>
      <c r="AN8" s="33"/>
      <c r="AO8" s="33"/>
      <c r="AP8" s="33"/>
      <c r="AQ8" s="33"/>
      <c r="AR8" s="30">
        <v>0</v>
      </c>
      <c r="AS8" s="30">
        <v>1</v>
      </c>
      <c r="AT8" s="30">
        <v>0</v>
      </c>
      <c r="AU8" s="60">
        <v>1</v>
      </c>
      <c r="AV8" s="60">
        <v>1</v>
      </c>
      <c r="AW8" s="60">
        <v>1</v>
      </c>
      <c r="AX8" s="60">
        <v>1</v>
      </c>
      <c r="AY8" s="34"/>
      <c r="AZ8" s="30"/>
      <c r="BA8" s="30"/>
      <c r="BB8" s="30"/>
      <c r="BC8" s="30"/>
      <c r="BD8" s="30"/>
      <c r="BE8" s="30"/>
      <c r="BF8" s="30"/>
      <c r="BG8" s="31" t="str">
        <f t="shared" si="2"/>
        <v>description: "Блок.Верх.Полож.", note: "Блокировка автоматической команды прибавить по верхнему допустимому положению", group: "status", minValue: null, maxValue: null, step: null, units: "null", defaultValue: null, eventRegistration: 2</v>
      </c>
    </row>
    <row r="9" spans="1:16379" s="32" customFormat="1" ht="15.75" customHeight="1" x14ac:dyDescent="0.25">
      <c r="A9" s="26"/>
      <c r="B9" s="26" t="s">
        <v>193</v>
      </c>
      <c r="C9" s="27"/>
      <c r="D9" s="56" t="s">
        <v>180</v>
      </c>
      <c r="E9" s="24" t="s">
        <v>178</v>
      </c>
      <c r="F9" s="24" t="s">
        <v>153</v>
      </c>
      <c r="G9" s="24" t="s">
        <v>153</v>
      </c>
      <c r="H9" s="24"/>
      <c r="I9" s="24">
        <f t="shared" ref="I9" si="6">LEN(F9)</f>
        <v>16</v>
      </c>
      <c r="J9" s="24" t="str">
        <f t="shared" ref="J9" si="7">IF(LEN(F9)&lt;=$J$1,F9,"")</f>
        <v>Блок.Нижн.Полож.</v>
      </c>
      <c r="K9" s="26" t="s">
        <v>103</v>
      </c>
      <c r="L9" s="28" t="s">
        <v>63</v>
      </c>
      <c r="M9" s="27" t="s">
        <v>60</v>
      </c>
      <c r="N9" s="27" t="s">
        <v>61</v>
      </c>
      <c r="O9" s="27"/>
      <c r="P9" s="34"/>
      <c r="Q9" s="34"/>
      <c r="R9" s="27" t="s">
        <v>62</v>
      </c>
      <c r="S9" s="27" t="s">
        <v>62</v>
      </c>
      <c r="T9" s="27" t="s">
        <v>62</v>
      </c>
      <c r="U9" s="27" t="s">
        <v>62</v>
      </c>
      <c r="V9" s="27"/>
      <c r="W9" s="27"/>
      <c r="X9" s="27" t="s">
        <v>62</v>
      </c>
      <c r="Y9" s="27">
        <v>2</v>
      </c>
      <c r="Z9" s="29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37"/>
      <c r="AJ9" s="33"/>
      <c r="AK9" s="33"/>
      <c r="AL9" s="33"/>
      <c r="AM9" s="33"/>
      <c r="AN9" s="33"/>
      <c r="AO9" s="33"/>
      <c r="AP9" s="33"/>
      <c r="AQ9" s="33"/>
      <c r="AR9" s="30">
        <v>0</v>
      </c>
      <c r="AS9" s="30">
        <v>1</v>
      </c>
      <c r="AT9" s="30">
        <v>0</v>
      </c>
      <c r="AU9" s="60">
        <v>1</v>
      </c>
      <c r="AV9" s="60">
        <v>1</v>
      </c>
      <c r="AW9" s="60">
        <v>1</v>
      </c>
      <c r="AX9" s="60">
        <v>1</v>
      </c>
      <c r="AY9" s="34"/>
      <c r="AZ9" s="30"/>
      <c r="BA9" s="30"/>
      <c r="BB9" s="30"/>
      <c r="BC9" s="30"/>
      <c r="BD9" s="30"/>
      <c r="BE9" s="30"/>
      <c r="BF9" s="30"/>
      <c r="BG9" s="31" t="str">
        <f t="shared" ref="BG9" si="8">CONCATENATE("description: """,F9,"""", ", ", "note: """,E9,"""",", ","group: """, B9, """",", ","minValue: ", S9,", ","maxValue: ", T9,", ","step: ", U9,", ","units: """, R9, """",", ","defaultValue: ", X9,", ","eventRegistration: ", Y9,)</f>
        <v>description: "Блок.Нижн.Полож.", note: "Блокировка автоматической команды убавить по нижнему допустимому положению", group: "status", minValue: null, maxValue: null, step: null, units: "null", defaultValue: null, eventRegistration: 2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1"/>
  <sheetViews>
    <sheetView topLeftCell="D1" zoomScale="80" zoomScaleNormal="80" workbookViewId="0">
      <selection activeCell="J19" sqref="J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3.5703125" style="2" bestFit="1" customWidth="1"/>
    <col min="6" max="7" width="23.140625" style="2" hidden="1" customWidth="1" outlineLevel="1"/>
    <col min="8" max="8" width="64" style="2" hidden="1" customWidth="1" outlineLevel="1"/>
    <col min="9" max="9" width="7.28515625" style="2" customWidth="1" collapsed="1"/>
    <col min="10" max="10" width="24.28515625" style="2" customWidth="1"/>
    <col min="11" max="11" width="14.5703125" style="2" customWidth="1"/>
    <col min="12" max="12" width="9.5703125" style="2" bestFit="1" customWidth="1"/>
    <col min="13" max="13" width="12.5703125" style="2" hidden="1" customWidth="1" outlineLevel="1"/>
    <col min="14" max="14" width="13.42578125" style="2" hidden="1" customWidth="1" outlineLevel="1"/>
    <col min="15" max="15" width="8.85546875" style="2" hidden="1" customWidth="1" outlineLevel="1"/>
    <col min="16" max="16" width="19" style="2" hidden="1" customWidth="1" outlineLevel="1"/>
    <col min="17" max="17" width="22.85546875" style="2" hidden="1" customWidth="1" outlineLevel="1"/>
    <col min="18" max="18" width="6.5703125" style="3" hidden="1" customWidth="1" outlineLevel="1"/>
    <col min="19" max="19" width="10.140625" style="4" hidden="1" customWidth="1" outlineLevel="1"/>
    <col min="20" max="20" width="11.28515625" style="4" hidden="1" customWidth="1" outlineLevel="1"/>
    <col min="21" max="21" width="8.42578125" style="4" hidden="1" customWidth="1" outlineLevel="1"/>
    <col min="22" max="23" width="13.5703125" style="4" hidden="1" customWidth="1" outlineLevel="1"/>
    <col min="24" max="24" width="13.140625" style="4" hidden="1" customWidth="1" outlineLevel="1"/>
    <col min="25" max="25" width="9.7109375" style="4" customWidth="1" collapsed="1"/>
    <col min="26" max="26" width="5.140625" style="1" customWidth="1"/>
    <col min="27" max="27" width="6.42578125" style="1" customWidth="1"/>
    <col min="28" max="28" width="4.140625" style="1" customWidth="1"/>
    <col min="29" max="29" width="5.85546875" style="1" customWidth="1"/>
    <col min="30" max="30" width="5" style="1" customWidth="1"/>
    <col min="31" max="31" width="5.5703125" style="1" customWidth="1"/>
    <col min="32" max="32" width="9.140625" style="1" customWidth="1"/>
    <col min="33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16.5703125" style="2" customWidth="1"/>
    <col min="38" max="38" width="14" style="2" customWidth="1"/>
    <col min="39" max="39" width="11.28515625" style="2" customWidth="1"/>
    <col min="40" max="40" width="10.42578125" style="2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5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SUM(AA4:AA38)</f>
        <v>0</v>
      </c>
      <c r="AI1" s="19"/>
      <c r="AJ1" s="7"/>
      <c r="AK1" s="7"/>
      <c r="AL1" s="7"/>
      <c r="AM1" s="7"/>
      <c r="AN1" s="7"/>
      <c r="AO1" s="7"/>
      <c r="AP1" s="7"/>
      <c r="AQ1" s="7"/>
      <c r="AR1" s="19"/>
      <c r="AS1" s="6"/>
      <c r="AT1" s="6"/>
      <c r="AU1" s="6"/>
      <c r="AV1" s="6"/>
      <c r="AW1" s="6"/>
      <c r="AX1" s="6"/>
      <c r="AY1" s="23"/>
      <c r="AZ1" s="100" t="s">
        <v>0</v>
      </c>
      <c r="BA1" s="101"/>
      <c r="BB1" s="101"/>
      <c r="BC1" s="101"/>
      <c r="BD1" s="101"/>
      <c r="BE1" s="101"/>
      <c r="BF1" s="101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customHeight="1" x14ac:dyDescent="0.25">
      <c r="A3" s="38"/>
      <c r="B3" s="26" t="s">
        <v>64</v>
      </c>
      <c r="C3" s="39"/>
      <c r="D3" s="36" t="s">
        <v>180</v>
      </c>
      <c r="E3" s="40" t="s">
        <v>154</v>
      </c>
      <c r="F3" s="24" t="s">
        <v>104</v>
      </c>
      <c r="G3" s="24" t="s">
        <v>104</v>
      </c>
      <c r="H3" s="40" t="s">
        <v>126</v>
      </c>
      <c r="I3" s="40">
        <f>LEN(F3)</f>
        <v>7</v>
      </c>
      <c r="J3" s="40" t="str">
        <f>IF(LEN(F3)&lt;=Controls!$K$1,F3,"")</f>
        <v>НапрСчN</v>
      </c>
      <c r="K3" s="38" t="s">
        <v>206</v>
      </c>
      <c r="L3" s="27" t="s">
        <v>63</v>
      </c>
      <c r="M3" s="27" t="s">
        <v>61</v>
      </c>
      <c r="N3" s="39" t="s">
        <v>61</v>
      </c>
      <c r="O3" s="39"/>
      <c r="P3" s="34"/>
      <c r="Q3" s="34"/>
      <c r="R3" s="39" t="s">
        <v>62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5">
        <v>0</v>
      </c>
      <c r="Z3" s="41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37"/>
      <c r="AJ3" s="33"/>
      <c r="AK3" s="33"/>
      <c r="AL3" s="33"/>
      <c r="AM3" s="35"/>
      <c r="AN3" s="33"/>
      <c r="AO3" s="33"/>
      <c r="AP3" s="33"/>
      <c r="AQ3" s="33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 t="s">
        <v>111</v>
      </c>
      <c r="AX3" s="44"/>
      <c r="AY3" s="25"/>
      <c r="AZ3" s="35"/>
      <c r="BA3" s="25"/>
      <c r="BB3" s="25"/>
      <c r="BC3" s="42"/>
      <c r="BD3" s="25"/>
      <c r="BE3" s="45"/>
      <c r="BF3" s="25"/>
      <c r="BG3" s="4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"НапрСчN", note: "Направление счета положений", group: "setting", minValue: 0, maxValue: 1, step: 1, units: "null", defaultValue: 0, eventRegistration: 0</v>
      </c>
      <c r="BH3" s="47"/>
    </row>
    <row r="4" spans="1:16379" s="49" customFormat="1" ht="15.75" x14ac:dyDescent="0.25">
      <c r="A4" s="38"/>
      <c r="B4" s="26" t="s">
        <v>64</v>
      </c>
      <c r="C4" s="39"/>
      <c r="D4" s="36" t="s">
        <v>180</v>
      </c>
      <c r="E4" s="40" t="s">
        <v>155</v>
      </c>
      <c r="F4" s="24" t="s">
        <v>105</v>
      </c>
      <c r="G4" s="24" t="s">
        <v>105</v>
      </c>
      <c r="H4" s="40" t="s">
        <v>125</v>
      </c>
      <c r="I4" s="40">
        <f t="shared" ref="I4:I11" si="0">LEN(F4)</f>
        <v>10</v>
      </c>
      <c r="J4" s="40" t="str">
        <f>IF(LEN(F4)&lt;=Controls!$K$1,F4,"")</f>
        <v>ТипДатчика</v>
      </c>
      <c r="K4" s="38" t="s">
        <v>203</v>
      </c>
      <c r="L4" s="39" t="s">
        <v>82</v>
      </c>
      <c r="M4" s="27" t="s">
        <v>61</v>
      </c>
      <c r="N4" s="39" t="s">
        <v>61</v>
      </c>
      <c r="O4" s="39"/>
      <c r="P4" s="34"/>
      <c r="Q4" s="34"/>
      <c r="R4" s="39" t="s">
        <v>62</v>
      </c>
      <c r="S4" s="39">
        <v>0</v>
      </c>
      <c r="T4" s="39">
        <v>2</v>
      </c>
      <c r="U4" s="39">
        <v>1</v>
      </c>
      <c r="V4" s="39"/>
      <c r="W4" s="39"/>
      <c r="X4" s="39">
        <v>0</v>
      </c>
      <c r="Y4" s="35">
        <v>0</v>
      </c>
      <c r="Z4" s="41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37"/>
      <c r="AJ4" s="33"/>
      <c r="AK4" s="33"/>
      <c r="AL4" s="33"/>
      <c r="AM4" s="35"/>
      <c r="AN4" s="33"/>
      <c r="AO4" s="33"/>
      <c r="AP4" s="33"/>
      <c r="AQ4" s="33"/>
      <c r="AR4" s="25">
        <v>0</v>
      </c>
      <c r="AS4" s="25">
        <v>0</v>
      </c>
      <c r="AT4" s="25">
        <v>0</v>
      </c>
      <c r="AU4" s="25">
        <v>0</v>
      </c>
      <c r="AV4" s="25">
        <f t="shared" ref="AV4:AV11" si="1">BIN2DEC(CONCATENATE(0,0,0,0,AR4,AS4,AT4,AU4))</f>
        <v>0</v>
      </c>
      <c r="AW4" s="25" t="s">
        <v>85</v>
      </c>
      <c r="AX4" s="44"/>
      <c r="AY4" s="25"/>
      <c r="AZ4" s="35"/>
      <c r="BA4" s="25"/>
      <c r="BB4" s="25"/>
      <c r="BC4" s="42"/>
      <c r="BD4" s="25"/>
      <c r="BE4" s="45"/>
      <c r="BF4" s="25"/>
      <c r="BG4" s="46" t="str">
        <f t="shared" ref="BG4:BG11" si="2">CONCATENATE("description: """,F4,"""", ", ", "note: """,E4,"""",", ","group: """, B4, """",", ","minValue: ", S4,", ","maxValue: ", T4,", ","step: ", U4,", ","units: """, R4, """",", ","defaultValue: ", X4,", ","eventRegistration: ", Y4,)</f>
        <v>description: "ТипДатчика", note: "Источник сигнала  положения РПН", group: "setting", minValue: 0, maxValue: 2, step: 1, units: "null", defaultValue: 0, eventRegistration: 0</v>
      </c>
      <c r="BH4" s="47"/>
    </row>
    <row r="5" spans="1:16379" s="49" customFormat="1" ht="15.75" customHeight="1" x14ac:dyDescent="0.25">
      <c r="A5" s="38"/>
      <c r="B5" s="26" t="s">
        <v>64</v>
      </c>
      <c r="C5" s="39"/>
      <c r="D5" s="36" t="s">
        <v>185</v>
      </c>
      <c r="E5" s="40" t="s">
        <v>110</v>
      </c>
      <c r="F5" s="24" t="s">
        <v>156</v>
      </c>
      <c r="G5" s="24" t="s">
        <v>156</v>
      </c>
      <c r="H5" s="40"/>
      <c r="I5" s="40">
        <f>LEN(F5)</f>
        <v>14</v>
      </c>
      <c r="J5" s="40" t="str">
        <f>IF(LEN(F5)&lt;=Controls!$K$1,F5,"")</f>
        <v>N по умолчанию</v>
      </c>
      <c r="K5" s="38" t="s">
        <v>207</v>
      </c>
      <c r="L5" s="39" t="s">
        <v>82</v>
      </c>
      <c r="M5" s="27" t="s">
        <v>61</v>
      </c>
      <c r="N5" s="39" t="s">
        <v>61</v>
      </c>
      <c r="O5" s="39"/>
      <c r="P5" s="34"/>
      <c r="Q5" s="34"/>
      <c r="R5" s="39" t="s">
        <v>62</v>
      </c>
      <c r="S5" s="39">
        <v>1</v>
      </c>
      <c r="T5" s="39">
        <v>40</v>
      </c>
      <c r="U5" s="39">
        <v>1</v>
      </c>
      <c r="V5" s="39"/>
      <c r="W5" s="39"/>
      <c r="X5" s="39">
        <v>1</v>
      </c>
      <c r="Y5" s="35">
        <v>0</v>
      </c>
      <c r="Z5" s="41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37"/>
      <c r="AJ5" s="43"/>
      <c r="AK5" s="43"/>
      <c r="AL5" s="43"/>
      <c r="AM5" s="43"/>
      <c r="AN5" s="43"/>
      <c r="AO5" s="43"/>
      <c r="AP5" s="43"/>
      <c r="AQ5" s="43"/>
      <c r="AR5" s="25">
        <v>0</v>
      </c>
      <c r="AS5" s="25">
        <v>0</v>
      </c>
      <c r="AT5" s="25">
        <v>0</v>
      </c>
      <c r="AU5" s="25">
        <v>0</v>
      </c>
      <c r="AV5" s="25">
        <f>BIN2DEC(CONCATENATE(0,0,0,0,AR5,AS5,AT5,AU5))</f>
        <v>0</v>
      </c>
      <c r="AW5" s="25"/>
      <c r="AX5" s="44"/>
      <c r="AY5" s="25"/>
      <c r="AZ5" s="35"/>
      <c r="BA5" s="25"/>
      <c r="BB5" s="25"/>
      <c r="BC5" s="42"/>
      <c r="BD5" s="25"/>
      <c r="BE5" s="45"/>
      <c r="BF5" s="25"/>
      <c r="BG5" s="46" t="str">
        <f t="shared" ref="BG5:BG10" si="3">CONCATENATE("description: """,F5,"""", ", ", "note: """,E5,"""",", ","group: """, B5, """",", ","minValue: ", S5,", ","maxValue: ", T5,", ","step: ", U5,", ","units: """, R5, """",", ","defaultValue: ", X5,", ","eventRegistration: ", Y5,)</f>
        <v>description: "N по умолчанию", note: "Первоначальное значение счетчика положений РПН", group: "setting", minValue: 1, maxValue: 40, step: 1, units: "null", defaultValue: 1, eventRegistration: 0</v>
      </c>
      <c r="BH5" s="47"/>
    </row>
    <row r="6" spans="1:16379" s="49" customFormat="1" ht="15.75" customHeight="1" x14ac:dyDescent="0.25">
      <c r="A6" s="38"/>
      <c r="B6" s="26" t="s">
        <v>64</v>
      </c>
      <c r="C6" s="39"/>
      <c r="D6" s="36" t="s">
        <v>180</v>
      </c>
      <c r="E6" s="40" t="s">
        <v>157</v>
      </c>
      <c r="F6" s="24" t="s">
        <v>109</v>
      </c>
      <c r="G6" s="24" t="s">
        <v>109</v>
      </c>
      <c r="H6" s="40"/>
      <c r="I6" s="40">
        <f>LEN(F6)</f>
        <v>7</v>
      </c>
      <c r="J6" s="40" t="str">
        <f>IF(LEN(F6)&lt;=Controls!$K$1,F6,"")</f>
        <v>IмаМакс</v>
      </c>
      <c r="K6" s="38" t="s">
        <v>205</v>
      </c>
      <c r="L6" s="39" t="s">
        <v>83</v>
      </c>
      <c r="M6" s="27" t="s">
        <v>61</v>
      </c>
      <c r="N6" s="39" t="s">
        <v>61</v>
      </c>
      <c r="O6" s="39"/>
      <c r="P6" s="34"/>
      <c r="Q6" s="34"/>
      <c r="R6" s="39" t="s">
        <v>84</v>
      </c>
      <c r="S6" s="39">
        <v>5</v>
      </c>
      <c r="T6" s="39">
        <v>100</v>
      </c>
      <c r="U6" s="39" t="s">
        <v>173</v>
      </c>
      <c r="V6" s="39"/>
      <c r="W6" s="39"/>
      <c r="X6" s="39">
        <v>20</v>
      </c>
      <c r="Y6" s="35">
        <v>0</v>
      </c>
      <c r="Z6" s="41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37"/>
      <c r="AJ6" s="33"/>
      <c r="AK6" s="33"/>
      <c r="AL6" s="33"/>
      <c r="AM6" s="35"/>
      <c r="AN6" s="33"/>
      <c r="AO6" s="33"/>
      <c r="AP6" s="33"/>
      <c r="AQ6" s="33"/>
      <c r="AR6" s="25">
        <v>0</v>
      </c>
      <c r="AS6" s="25">
        <v>0</v>
      </c>
      <c r="AT6" s="25">
        <v>0</v>
      </c>
      <c r="AU6" s="25">
        <v>0</v>
      </c>
      <c r="AV6" s="25">
        <f>BIN2DEC(CONCATENATE(0,0,0,0,AR6,AS6,AT6,AU6))</f>
        <v>0</v>
      </c>
      <c r="AW6" s="25"/>
      <c r="AX6" s="44"/>
      <c r="AY6" s="25"/>
      <c r="AZ6" s="35"/>
      <c r="BA6" s="25"/>
      <c r="BB6" s="25"/>
      <c r="BC6" s="42"/>
      <c r="BD6" s="25"/>
      <c r="BE6" s="45"/>
      <c r="BF6" s="25"/>
      <c r="BG6" s="46" t="str">
        <f t="shared" si="3"/>
        <v>description: "IмаМакс", note: "Сигнал токовой петли, соответствующий конечному положению РПН", group: "setting", minValue: 5, maxValue: 100, step: 0.01, units: "мА", defaultValue: 20, eventRegistration: 0</v>
      </c>
      <c r="BH6" s="47"/>
    </row>
    <row r="7" spans="1:16379" s="49" customFormat="1" ht="15.75" x14ac:dyDescent="0.25">
      <c r="A7" s="38"/>
      <c r="B7" s="26" t="s">
        <v>64</v>
      </c>
      <c r="C7" s="39"/>
      <c r="D7" s="36" t="s">
        <v>180</v>
      </c>
      <c r="E7" s="40" t="s">
        <v>158</v>
      </c>
      <c r="F7" s="24" t="s">
        <v>107</v>
      </c>
      <c r="G7" s="24" t="s">
        <v>107</v>
      </c>
      <c r="H7" s="40"/>
      <c r="I7" s="40">
        <f>LEN(F7)</f>
        <v>6</v>
      </c>
      <c r="J7" s="40" t="str">
        <f>IF(LEN(F7)&lt;=Controls!$K$1,F7,"")</f>
        <v>IмаМин</v>
      </c>
      <c r="K7" s="38" t="s">
        <v>204</v>
      </c>
      <c r="L7" s="39" t="s">
        <v>83</v>
      </c>
      <c r="M7" s="27" t="s">
        <v>61</v>
      </c>
      <c r="N7" s="39" t="s">
        <v>61</v>
      </c>
      <c r="O7" s="39"/>
      <c r="P7" s="35"/>
      <c r="Q7" s="35"/>
      <c r="R7" s="39" t="s">
        <v>84</v>
      </c>
      <c r="S7" s="39">
        <v>0</v>
      </c>
      <c r="T7" s="39">
        <v>4</v>
      </c>
      <c r="U7" s="39" t="s">
        <v>173</v>
      </c>
      <c r="V7" s="39"/>
      <c r="W7" s="39"/>
      <c r="X7" s="39">
        <v>4</v>
      </c>
      <c r="Y7" s="35">
        <v>0</v>
      </c>
      <c r="Z7" s="41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37"/>
      <c r="AJ7" s="43"/>
      <c r="AK7" s="43"/>
      <c r="AL7" s="43"/>
      <c r="AM7" s="43"/>
      <c r="AN7" s="43"/>
      <c r="AO7" s="43"/>
      <c r="AP7" s="43"/>
      <c r="AQ7" s="43"/>
      <c r="AR7" s="25">
        <v>0</v>
      </c>
      <c r="AS7" s="25">
        <v>0</v>
      </c>
      <c r="AT7" s="25">
        <v>0</v>
      </c>
      <c r="AU7" s="25">
        <v>0</v>
      </c>
      <c r="AV7" s="25">
        <f>BIN2DEC(CONCATENATE(0,0,0,0,AR7,AS7,AT7,AU7))</f>
        <v>0</v>
      </c>
      <c r="AW7" s="25"/>
      <c r="AX7" s="44"/>
      <c r="AY7" s="25"/>
      <c r="AZ7" s="35"/>
      <c r="BA7" s="25"/>
      <c r="BB7" s="25"/>
      <c r="BC7" s="42"/>
      <c r="BD7" s="25"/>
      <c r="BE7" s="45"/>
      <c r="BF7" s="25"/>
      <c r="BG7" s="46" t="str">
        <f t="shared" si="3"/>
        <v>description: "IмаМин", note: "Сигнал токовой петли, соответствующий начальному положению РПН", group: "setting", minValue: 0, maxValue: 4, step: 0.01, units: "мА", defaultValue: 4, eventRegistration: 0</v>
      </c>
      <c r="BH7" s="47"/>
    </row>
    <row r="8" spans="1:16379" s="65" customFormat="1" ht="15.75" customHeight="1" x14ac:dyDescent="0.25">
      <c r="A8" s="54"/>
      <c r="B8" s="54" t="s">
        <v>64</v>
      </c>
      <c r="C8" s="55"/>
      <c r="D8" s="56" t="s">
        <v>180</v>
      </c>
      <c r="E8" s="57" t="s">
        <v>159</v>
      </c>
      <c r="F8" s="57" t="s">
        <v>108</v>
      </c>
      <c r="G8" s="57" t="s">
        <v>108</v>
      </c>
      <c r="H8" s="57"/>
      <c r="I8" s="57">
        <f>LEN(F8)</f>
        <v>5</v>
      </c>
      <c r="J8" s="57" t="str">
        <f>IF(LEN(F8)&lt;=Controls!$K$1,F8,"")</f>
        <v>МаксN</v>
      </c>
      <c r="K8" s="54" t="s">
        <v>186</v>
      </c>
      <c r="L8" s="55" t="s">
        <v>82</v>
      </c>
      <c r="M8" s="55" t="s">
        <v>61</v>
      </c>
      <c r="N8" s="55" t="s">
        <v>61</v>
      </c>
      <c r="O8" s="55"/>
      <c r="P8" s="58"/>
      <c r="Q8" s="58"/>
      <c r="R8" s="55" t="s">
        <v>62</v>
      </c>
      <c r="S8" s="55">
        <v>1</v>
      </c>
      <c r="T8" s="55">
        <v>40</v>
      </c>
      <c r="U8" s="55">
        <v>1</v>
      </c>
      <c r="V8" s="55"/>
      <c r="W8" s="55"/>
      <c r="X8" s="55">
        <v>40</v>
      </c>
      <c r="Y8" s="58">
        <v>0</v>
      </c>
      <c r="Z8" s="59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61" t="s">
        <v>174</v>
      </c>
      <c r="AJ8" s="62" t="s">
        <v>120</v>
      </c>
      <c r="AK8" s="62" t="s">
        <v>176</v>
      </c>
      <c r="AL8" s="62" t="s">
        <v>121</v>
      </c>
      <c r="AM8" s="58" t="s">
        <v>82</v>
      </c>
      <c r="AN8" s="62"/>
      <c r="AO8" s="62" t="s">
        <v>122</v>
      </c>
      <c r="AP8" s="62" t="str">
        <f t="shared" ref="AP8" si="4">CONCATENATE( AJ8, ".", AL8)</f>
        <v>ATCC1.TapChg.maxVal</v>
      </c>
      <c r="AQ8" s="62" t="s">
        <v>76</v>
      </c>
      <c r="AR8" s="60">
        <v>0</v>
      </c>
      <c r="AS8" s="60">
        <v>0</v>
      </c>
      <c r="AT8" s="60">
        <v>0</v>
      </c>
      <c r="AU8" s="60">
        <v>0</v>
      </c>
      <c r="AV8" s="60">
        <f>BIN2DEC(CONCATENATE(0,0,0,0,AR8,AS8,AT8,AU8))</f>
        <v>0</v>
      </c>
      <c r="AW8" s="60"/>
      <c r="AX8" s="54"/>
      <c r="AY8" s="60"/>
      <c r="AZ8" s="58"/>
      <c r="BA8" s="60"/>
      <c r="BB8" s="60"/>
      <c r="BC8" s="60"/>
      <c r="BD8" s="60"/>
      <c r="BE8" s="60"/>
      <c r="BF8" s="60"/>
      <c r="BG8" s="63" t="str">
        <f t="shared" si="3"/>
        <v>description: "МаксN", note: "Конечное положение РПН", group: "setting", minValue: 1, maxValue: 40, step: 1, units: "null", defaultValue: 40, eventRegistration: 0</v>
      </c>
      <c r="BH8" s="64"/>
    </row>
    <row r="9" spans="1:16379" s="65" customFormat="1" ht="15.75" customHeight="1" x14ac:dyDescent="0.25">
      <c r="A9" s="54"/>
      <c r="B9" s="54" t="s">
        <v>64</v>
      </c>
      <c r="C9" s="55"/>
      <c r="D9" s="56" t="s">
        <v>180</v>
      </c>
      <c r="E9" s="57" t="s">
        <v>160</v>
      </c>
      <c r="F9" s="57" t="s">
        <v>106</v>
      </c>
      <c r="G9" s="57" t="s">
        <v>106</v>
      </c>
      <c r="H9" s="57"/>
      <c r="I9" s="57">
        <f>LEN(F9)</f>
        <v>4</v>
      </c>
      <c r="J9" s="57" t="str">
        <f>IF(LEN(F9)&lt;=Controls!$K$1,F9,"")</f>
        <v>МинN</v>
      </c>
      <c r="K9" s="54" t="s">
        <v>187</v>
      </c>
      <c r="L9" s="55" t="s">
        <v>82</v>
      </c>
      <c r="M9" s="55" t="s">
        <v>61</v>
      </c>
      <c r="N9" s="55" t="s">
        <v>61</v>
      </c>
      <c r="O9" s="55"/>
      <c r="P9" s="58"/>
      <c r="Q9" s="58"/>
      <c r="R9" s="55" t="s">
        <v>62</v>
      </c>
      <c r="S9" s="55">
        <v>1</v>
      </c>
      <c r="T9" s="55">
        <v>40</v>
      </c>
      <c r="U9" s="55">
        <v>1</v>
      </c>
      <c r="V9" s="55"/>
      <c r="W9" s="55"/>
      <c r="X9" s="55">
        <v>1</v>
      </c>
      <c r="Y9" s="58">
        <v>0</v>
      </c>
      <c r="Z9" s="59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61" t="s">
        <v>174</v>
      </c>
      <c r="AJ9" s="62" t="s">
        <v>120</v>
      </c>
      <c r="AK9" s="62" t="s">
        <v>176</v>
      </c>
      <c r="AL9" s="62" t="s">
        <v>123</v>
      </c>
      <c r="AM9" s="58" t="s">
        <v>82</v>
      </c>
      <c r="AN9" s="62"/>
      <c r="AO9" s="62" t="s">
        <v>122</v>
      </c>
      <c r="AP9" s="62" t="str">
        <f t="shared" ref="AP9" si="5">CONCATENATE( AJ9, ".", AL9)</f>
        <v>ATCC1.TapChg.minVal</v>
      </c>
      <c r="AQ9" s="62" t="s">
        <v>76</v>
      </c>
      <c r="AR9" s="60">
        <v>0</v>
      </c>
      <c r="AS9" s="60">
        <v>0</v>
      </c>
      <c r="AT9" s="60">
        <v>0</v>
      </c>
      <c r="AU9" s="60">
        <v>0</v>
      </c>
      <c r="AV9" s="60">
        <f>BIN2DEC(CONCATENATE(0,0,0,0,AR9,AS9,AT9,AU9))</f>
        <v>0</v>
      </c>
      <c r="AW9" s="60"/>
      <c r="AX9" s="54"/>
      <c r="AY9" s="60"/>
      <c r="AZ9" s="58"/>
      <c r="BA9" s="60"/>
      <c r="BB9" s="60"/>
      <c r="BC9" s="60"/>
      <c r="BD9" s="60"/>
      <c r="BE9" s="60"/>
      <c r="BF9" s="60"/>
      <c r="BG9" s="63" t="str">
        <f t="shared" si="3"/>
        <v>description: "МинN", note: "Начальное положение РПН", group: "setting", minValue: 1, maxValue: 40, step: 1, units: "null", defaultValue: 1, eventRegistration: 0</v>
      </c>
      <c r="BH9" s="64"/>
    </row>
    <row r="10" spans="1:16379" s="49" customFormat="1" ht="15.75" x14ac:dyDescent="0.25">
      <c r="A10" s="38"/>
      <c r="B10" s="26" t="s">
        <v>64</v>
      </c>
      <c r="C10" s="39"/>
      <c r="D10" s="56" t="s">
        <v>180</v>
      </c>
      <c r="E10" s="40" t="s">
        <v>161</v>
      </c>
      <c r="F10" s="24" t="s">
        <v>162</v>
      </c>
      <c r="G10" s="24" t="s">
        <v>162</v>
      </c>
      <c r="H10" s="40"/>
      <c r="I10" s="40">
        <f t="shared" si="0"/>
        <v>19</v>
      </c>
      <c r="J10" s="40" t="str">
        <f>IF(LEN(F10)&lt;=Controls!$K$1,F10,"")</f>
        <v>Мертвое положение 1</v>
      </c>
      <c r="K10" s="38" t="s">
        <v>198</v>
      </c>
      <c r="L10" s="39" t="s">
        <v>77</v>
      </c>
      <c r="M10" s="27" t="s">
        <v>61</v>
      </c>
      <c r="N10" s="39" t="s">
        <v>61</v>
      </c>
      <c r="O10" s="39"/>
      <c r="P10" s="34"/>
      <c r="Q10" s="34"/>
      <c r="R10" s="39" t="s">
        <v>62</v>
      </c>
      <c r="S10" s="39">
        <v>0</v>
      </c>
      <c r="T10" s="39">
        <v>40</v>
      </c>
      <c r="U10" s="39">
        <v>1</v>
      </c>
      <c r="V10" s="39"/>
      <c r="W10" s="39"/>
      <c r="X10" s="39">
        <v>0</v>
      </c>
      <c r="Y10" s="35">
        <v>0</v>
      </c>
      <c r="Z10" s="41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37"/>
      <c r="AJ10" s="33"/>
      <c r="AK10" s="33"/>
      <c r="AL10" s="33"/>
      <c r="AM10" s="35"/>
      <c r="AN10" s="33"/>
      <c r="AO10" s="33"/>
      <c r="AP10" s="33"/>
      <c r="AQ10" s="33"/>
      <c r="AR10" s="25">
        <v>0</v>
      </c>
      <c r="AS10" s="25">
        <v>0</v>
      </c>
      <c r="AT10" s="25">
        <v>0</v>
      </c>
      <c r="AU10" s="25">
        <v>0</v>
      </c>
      <c r="AV10" s="25">
        <f t="shared" si="1"/>
        <v>0</v>
      </c>
      <c r="AW10" s="25"/>
      <c r="AX10" s="44"/>
      <c r="AY10" s="25"/>
      <c r="AZ10" s="35"/>
      <c r="BA10" s="25"/>
      <c r="BB10" s="25"/>
      <c r="BC10" s="42"/>
      <c r="BD10" s="25"/>
      <c r="BE10" s="45"/>
      <c r="BF10" s="25"/>
      <c r="BG10" s="46" t="str">
        <f t="shared" si="3"/>
        <v>description: "Мертвое положение 1", note: "Номер пропускаемого положения 1", group: "setting", minValue: 0, maxValue: 40, step: 1, units: "null", defaultValue: 0, eventRegistration: 0</v>
      </c>
      <c r="BH10" s="47"/>
    </row>
    <row r="11" spans="1:16379" s="49" customFormat="1" ht="15.75" customHeight="1" x14ac:dyDescent="0.25">
      <c r="A11" s="38"/>
      <c r="B11" s="26" t="s">
        <v>64</v>
      </c>
      <c r="C11" s="39"/>
      <c r="D11" s="56" t="s">
        <v>180</v>
      </c>
      <c r="E11" s="40" t="s">
        <v>163</v>
      </c>
      <c r="F11" s="24" t="s">
        <v>167</v>
      </c>
      <c r="G11" s="24" t="s">
        <v>167</v>
      </c>
      <c r="H11" s="40"/>
      <c r="I11" s="40">
        <f t="shared" si="0"/>
        <v>19</v>
      </c>
      <c r="J11" s="40" t="str">
        <f>IF(LEN(F11)&lt;=Controls!$K$1,F11,"")</f>
        <v>Мертвое положение 2</v>
      </c>
      <c r="K11" s="38" t="s">
        <v>199</v>
      </c>
      <c r="L11" s="39" t="s">
        <v>77</v>
      </c>
      <c r="M11" s="27" t="s">
        <v>61</v>
      </c>
      <c r="N11" s="39" t="s">
        <v>61</v>
      </c>
      <c r="O11" s="39"/>
      <c r="P11" s="34"/>
      <c r="Q11" s="34"/>
      <c r="R11" s="39" t="s">
        <v>62</v>
      </c>
      <c r="S11" s="39">
        <v>0</v>
      </c>
      <c r="T11" s="39">
        <v>40</v>
      </c>
      <c r="U11" s="39">
        <v>1</v>
      </c>
      <c r="V11" s="39"/>
      <c r="W11" s="39"/>
      <c r="X11" s="39">
        <v>0</v>
      </c>
      <c r="Y11" s="35">
        <v>0</v>
      </c>
      <c r="Z11" s="41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37"/>
      <c r="AJ11" s="43"/>
      <c r="AK11" s="43"/>
      <c r="AL11" s="43"/>
      <c r="AM11" s="43"/>
      <c r="AN11" s="43"/>
      <c r="AO11" s="43"/>
      <c r="AP11" s="43"/>
      <c r="AQ11" s="43"/>
      <c r="AR11" s="25">
        <v>0</v>
      </c>
      <c r="AS11" s="25">
        <v>0</v>
      </c>
      <c r="AT11" s="25">
        <v>0</v>
      </c>
      <c r="AU11" s="25">
        <v>0</v>
      </c>
      <c r="AV11" s="25">
        <f t="shared" si="1"/>
        <v>0</v>
      </c>
      <c r="AW11" s="25"/>
      <c r="AX11" s="44"/>
      <c r="AY11" s="25"/>
      <c r="AZ11" s="35"/>
      <c r="BA11" s="25"/>
      <c r="BB11" s="25"/>
      <c r="BC11" s="42"/>
      <c r="BD11" s="25"/>
      <c r="BE11" s="45"/>
      <c r="BF11" s="25"/>
      <c r="BG11" s="46" t="str">
        <f t="shared" si="2"/>
        <v>description: "Мертвое положение 2", note: "Номер пропускаемого положения 2", group: "setting", minValue: 0, maxValue: 40, step: 1, units: "null", defaultValue: 0, eventRegistration: 0</v>
      </c>
      <c r="BH11" s="47"/>
    </row>
    <row r="12" spans="1:16379" s="49" customFormat="1" ht="15.75" customHeight="1" x14ac:dyDescent="0.25">
      <c r="A12" s="38"/>
      <c r="B12" s="26" t="s">
        <v>64</v>
      </c>
      <c r="C12" s="39"/>
      <c r="D12" s="56" t="s">
        <v>180</v>
      </c>
      <c r="E12" s="40" t="s">
        <v>164</v>
      </c>
      <c r="F12" s="24" t="s">
        <v>168</v>
      </c>
      <c r="G12" s="24" t="s">
        <v>168</v>
      </c>
      <c r="H12" s="40"/>
      <c r="I12" s="40">
        <f t="shared" ref="I12:I14" si="6">LEN(F12)</f>
        <v>19</v>
      </c>
      <c r="J12" s="40" t="str">
        <f>IF(LEN(F12)&lt;=Controls!$K$1,F12,"")</f>
        <v>Мертвое положение 3</v>
      </c>
      <c r="K12" s="38" t="s">
        <v>200</v>
      </c>
      <c r="L12" s="39" t="s">
        <v>77</v>
      </c>
      <c r="M12" s="27" t="s">
        <v>61</v>
      </c>
      <c r="N12" s="39" t="s">
        <v>61</v>
      </c>
      <c r="O12" s="39"/>
      <c r="P12" s="34"/>
      <c r="Q12" s="34"/>
      <c r="R12" s="39" t="s">
        <v>62</v>
      </c>
      <c r="S12" s="39">
        <v>0</v>
      </c>
      <c r="T12" s="39">
        <v>40</v>
      </c>
      <c r="U12" s="39">
        <v>1</v>
      </c>
      <c r="V12" s="39"/>
      <c r="W12" s="39"/>
      <c r="X12" s="39">
        <v>0</v>
      </c>
      <c r="Y12" s="35">
        <v>0</v>
      </c>
      <c r="Z12" s="41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37"/>
      <c r="AJ12" s="43"/>
      <c r="AK12" s="43"/>
      <c r="AL12" s="43"/>
      <c r="AM12" s="43"/>
      <c r="AN12" s="43"/>
      <c r="AO12" s="43"/>
      <c r="AP12" s="43"/>
      <c r="AQ12" s="43"/>
      <c r="AR12" s="25">
        <v>0</v>
      </c>
      <c r="AS12" s="25">
        <v>0</v>
      </c>
      <c r="AT12" s="25">
        <v>0</v>
      </c>
      <c r="AU12" s="25">
        <v>0</v>
      </c>
      <c r="AV12" s="25">
        <f t="shared" ref="AV12:AV14" si="7">BIN2DEC(CONCATENATE(0,0,0,0,AR12,AS12,AT12,AU12))</f>
        <v>0</v>
      </c>
      <c r="AW12" s="25"/>
      <c r="AX12" s="44"/>
      <c r="AY12" s="25"/>
      <c r="AZ12" s="35"/>
      <c r="BA12" s="25"/>
      <c r="BB12" s="25"/>
      <c r="BC12" s="42"/>
      <c r="BD12" s="25"/>
      <c r="BE12" s="45"/>
      <c r="BF12" s="25"/>
      <c r="BG12" s="46" t="str">
        <f t="shared" ref="BG12:BG14" si="8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"Мертвое положение 3", note: "Номер пропускаемого положения 3", group: "setting", minValue: 0, maxValue: 40, step: 1, units: "null", defaultValue: 0, eventRegistration: 0</v>
      </c>
      <c r="BH12" s="47"/>
    </row>
    <row r="13" spans="1:16379" s="49" customFormat="1" ht="15.75" customHeight="1" x14ac:dyDescent="0.25">
      <c r="A13" s="38"/>
      <c r="B13" s="26" t="s">
        <v>64</v>
      </c>
      <c r="C13" s="39"/>
      <c r="D13" s="56" t="s">
        <v>180</v>
      </c>
      <c r="E13" s="40" t="s">
        <v>165</v>
      </c>
      <c r="F13" s="24" t="s">
        <v>169</v>
      </c>
      <c r="G13" s="24" t="s">
        <v>169</v>
      </c>
      <c r="H13" s="40"/>
      <c r="I13" s="40">
        <f t="shared" si="6"/>
        <v>19</v>
      </c>
      <c r="J13" s="40" t="str">
        <f>IF(LEN(F13)&lt;=Controls!$K$1,F13,"")</f>
        <v>Мертвое положение 4</v>
      </c>
      <c r="K13" s="38" t="s">
        <v>201</v>
      </c>
      <c r="L13" s="39" t="s">
        <v>77</v>
      </c>
      <c r="M13" s="27" t="s">
        <v>61</v>
      </c>
      <c r="N13" s="39" t="s">
        <v>61</v>
      </c>
      <c r="O13" s="39"/>
      <c r="P13" s="34"/>
      <c r="Q13" s="34"/>
      <c r="R13" s="39" t="s">
        <v>62</v>
      </c>
      <c r="S13" s="39">
        <v>0</v>
      </c>
      <c r="T13" s="39">
        <v>40</v>
      </c>
      <c r="U13" s="39">
        <v>1</v>
      </c>
      <c r="V13" s="39"/>
      <c r="W13" s="39"/>
      <c r="X13" s="39">
        <v>0</v>
      </c>
      <c r="Y13" s="35">
        <v>0</v>
      </c>
      <c r="Z13" s="41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37"/>
      <c r="AJ13" s="43"/>
      <c r="AK13" s="43"/>
      <c r="AL13" s="43"/>
      <c r="AM13" s="43"/>
      <c r="AN13" s="43"/>
      <c r="AO13" s="43"/>
      <c r="AP13" s="43"/>
      <c r="AQ13" s="43"/>
      <c r="AR13" s="25">
        <v>0</v>
      </c>
      <c r="AS13" s="25">
        <v>0</v>
      </c>
      <c r="AT13" s="25">
        <v>0</v>
      </c>
      <c r="AU13" s="25">
        <v>0</v>
      </c>
      <c r="AV13" s="25">
        <f t="shared" si="7"/>
        <v>0</v>
      </c>
      <c r="AW13" s="25"/>
      <c r="AX13" s="44"/>
      <c r="AY13" s="25"/>
      <c r="AZ13" s="35"/>
      <c r="BA13" s="25"/>
      <c r="BB13" s="25"/>
      <c r="BC13" s="42"/>
      <c r="BD13" s="25"/>
      <c r="BE13" s="45"/>
      <c r="BF13" s="25"/>
      <c r="BG13" s="46" t="str">
        <f t="shared" si="8"/>
        <v>description: "Мертвое положение 4", note: "Номер пропускаемого положения 4", group: "setting", minValue: 0, maxValue: 40, step: 1, units: "null", defaultValue: 0, eventRegistration: 0</v>
      </c>
      <c r="BH13" s="47"/>
    </row>
    <row r="14" spans="1:16379" s="49" customFormat="1" ht="15.75" customHeight="1" x14ac:dyDescent="0.25">
      <c r="A14" s="38"/>
      <c r="B14" s="26" t="s">
        <v>64</v>
      </c>
      <c r="C14" s="39"/>
      <c r="D14" s="56" t="s">
        <v>180</v>
      </c>
      <c r="E14" s="40" t="s">
        <v>166</v>
      </c>
      <c r="F14" s="24" t="s">
        <v>170</v>
      </c>
      <c r="G14" s="24" t="s">
        <v>170</v>
      </c>
      <c r="H14" s="40"/>
      <c r="I14" s="40">
        <f t="shared" si="6"/>
        <v>19</v>
      </c>
      <c r="J14" s="40" t="str">
        <f>IF(LEN(F14)&lt;=Controls!$K$1,F14,"")</f>
        <v>Мертвое положение 5</v>
      </c>
      <c r="K14" s="38" t="s">
        <v>202</v>
      </c>
      <c r="L14" s="39" t="s">
        <v>77</v>
      </c>
      <c r="M14" s="27" t="s">
        <v>61</v>
      </c>
      <c r="N14" s="39" t="s">
        <v>61</v>
      </c>
      <c r="O14" s="39"/>
      <c r="P14" s="34"/>
      <c r="Q14" s="34"/>
      <c r="R14" s="39" t="s">
        <v>62</v>
      </c>
      <c r="S14" s="39">
        <v>0</v>
      </c>
      <c r="T14" s="39">
        <v>40</v>
      </c>
      <c r="U14" s="39">
        <v>1</v>
      </c>
      <c r="V14" s="39"/>
      <c r="W14" s="39"/>
      <c r="X14" s="39">
        <v>0</v>
      </c>
      <c r="Y14" s="35">
        <v>0</v>
      </c>
      <c r="Z14" s="41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37"/>
      <c r="AJ14" s="43"/>
      <c r="AK14" s="43"/>
      <c r="AL14" s="43"/>
      <c r="AM14" s="43"/>
      <c r="AN14" s="43"/>
      <c r="AO14" s="43"/>
      <c r="AP14" s="43"/>
      <c r="AQ14" s="43"/>
      <c r="AR14" s="25">
        <v>0</v>
      </c>
      <c r="AS14" s="25">
        <v>0</v>
      </c>
      <c r="AT14" s="25">
        <v>0</v>
      </c>
      <c r="AU14" s="25">
        <v>0</v>
      </c>
      <c r="AV14" s="25">
        <f t="shared" si="7"/>
        <v>0</v>
      </c>
      <c r="AW14" s="25"/>
      <c r="AX14" s="44"/>
      <c r="AY14" s="25"/>
      <c r="AZ14" s="35"/>
      <c r="BA14" s="25"/>
      <c r="BB14" s="25"/>
      <c r="BC14" s="42"/>
      <c r="BD14" s="25"/>
      <c r="BE14" s="45"/>
      <c r="BF14" s="25"/>
      <c r="BG14" s="46" t="str">
        <f t="shared" si="8"/>
        <v>description: "Мертвое положение 5", note: "Номер пропускаемого положения 5", group: "setting", minValue: 0, maxValue: 40, step: 1, units: "null", defaultValue: 0, eventRegistration: 0</v>
      </c>
      <c r="BH14" s="47"/>
    </row>
    <row r="15" spans="1:16379" s="65" customFormat="1" ht="15.75" customHeight="1" x14ac:dyDescent="0.25">
      <c r="A15" s="54"/>
      <c r="B15" s="54" t="s">
        <v>64</v>
      </c>
      <c r="C15" s="55"/>
      <c r="D15" s="56" t="s">
        <v>180</v>
      </c>
      <c r="E15" s="57" t="s">
        <v>171</v>
      </c>
      <c r="F15" s="57" t="s">
        <v>100</v>
      </c>
      <c r="G15" s="57" t="s">
        <v>100</v>
      </c>
      <c r="H15" s="57"/>
      <c r="I15" s="57">
        <f>LEN(F15)</f>
        <v>8</v>
      </c>
      <c r="J15" s="57" t="str">
        <f>IF(LEN(F15)&lt;=Controls!$K$1,F15,"")</f>
        <v>БлкВерхN</v>
      </c>
      <c r="K15" s="54" t="s">
        <v>188</v>
      </c>
      <c r="L15" s="55" t="s">
        <v>77</v>
      </c>
      <c r="M15" s="55" t="s">
        <v>61</v>
      </c>
      <c r="N15" s="55" t="s">
        <v>61</v>
      </c>
      <c r="O15" s="55"/>
      <c r="P15" s="58"/>
      <c r="Q15" s="58"/>
      <c r="R15" s="55" t="s">
        <v>62</v>
      </c>
      <c r="S15" s="55">
        <v>1</v>
      </c>
      <c r="T15" s="55">
        <v>40</v>
      </c>
      <c r="U15" s="55">
        <v>1</v>
      </c>
      <c r="V15" s="55"/>
      <c r="W15" s="55"/>
      <c r="X15" s="55">
        <v>40</v>
      </c>
      <c r="Y15" s="58">
        <v>0</v>
      </c>
      <c r="Z15" s="59"/>
      <c r="AA15" s="60">
        <v>0</v>
      </c>
      <c r="AB15" s="60"/>
      <c r="AC15" s="60"/>
      <c r="AD15" s="60"/>
      <c r="AE15" s="60"/>
      <c r="AF15" s="60">
        <v>0</v>
      </c>
      <c r="AG15" s="60">
        <v>0</v>
      </c>
      <c r="AH15" s="60">
        <v>0</v>
      </c>
      <c r="AI15" s="61" t="s">
        <v>174</v>
      </c>
      <c r="AJ15" s="62" t="s">
        <v>119</v>
      </c>
      <c r="AK15" s="62" t="s">
        <v>118</v>
      </c>
      <c r="AL15" s="62" t="s">
        <v>80</v>
      </c>
      <c r="AM15" s="58" t="s">
        <v>77</v>
      </c>
      <c r="AN15" s="62"/>
      <c r="AO15" s="62" t="s">
        <v>127</v>
      </c>
      <c r="AP15" s="62" t="str">
        <f t="shared" ref="AP15" si="9">CONCATENATE( AJ15, ".", AL15)</f>
        <v>ATCC1.TapBlkR.setVal</v>
      </c>
      <c r="AQ15" s="62" t="s">
        <v>76</v>
      </c>
      <c r="AR15" s="60">
        <v>0</v>
      </c>
      <c r="AS15" s="60">
        <v>0</v>
      </c>
      <c r="AT15" s="60">
        <v>0</v>
      </c>
      <c r="AU15" s="60">
        <v>0</v>
      </c>
      <c r="AV15" s="60">
        <f>BIN2DEC(CONCATENATE(0,0,0,0,AR15,AS15,AT15,AU15))</f>
        <v>0</v>
      </c>
      <c r="AW15" s="60"/>
      <c r="AX15" s="54"/>
      <c r="AY15" s="60"/>
      <c r="AZ15" s="58"/>
      <c r="BA15" s="60"/>
      <c r="BB15" s="60"/>
      <c r="BC15" s="60"/>
      <c r="BD15" s="60"/>
      <c r="BE15" s="60"/>
      <c r="BF15" s="60"/>
      <c r="BG15" s="63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"БлкВерхN", note: "Положение привода, далее которого блокируются автоматические команды прибавить", group: "setting", minValue: 1, maxValue: 40, step: 1, units: "null", defaultValue: 40, eventRegistration: 0</v>
      </c>
      <c r="BH15" s="64"/>
    </row>
    <row r="16" spans="1:16379" s="65" customFormat="1" ht="15.75" customHeight="1" x14ac:dyDescent="0.25">
      <c r="A16" s="54"/>
      <c r="B16" s="54" t="s">
        <v>64</v>
      </c>
      <c r="C16" s="55"/>
      <c r="D16" s="56" t="s">
        <v>180</v>
      </c>
      <c r="E16" s="57" t="s">
        <v>172</v>
      </c>
      <c r="F16" s="57" t="s">
        <v>102</v>
      </c>
      <c r="G16" s="57" t="s">
        <v>102</v>
      </c>
      <c r="H16" s="57"/>
      <c r="I16" s="57">
        <f>LEN(F16)</f>
        <v>8</v>
      </c>
      <c r="J16" s="57" t="str">
        <f>IF(LEN(F16)&lt;=Controls!$K$1,F16,"")</f>
        <v>БлкНижнN</v>
      </c>
      <c r="K16" s="54" t="s">
        <v>189</v>
      </c>
      <c r="L16" s="55" t="s">
        <v>77</v>
      </c>
      <c r="M16" s="55" t="s">
        <v>61</v>
      </c>
      <c r="N16" s="55" t="s">
        <v>61</v>
      </c>
      <c r="O16" s="55"/>
      <c r="P16" s="58"/>
      <c r="Q16" s="58"/>
      <c r="R16" s="55" t="s">
        <v>62</v>
      </c>
      <c r="S16" s="55">
        <v>1</v>
      </c>
      <c r="T16" s="55">
        <v>40</v>
      </c>
      <c r="U16" s="55">
        <v>1</v>
      </c>
      <c r="V16" s="55"/>
      <c r="W16" s="55"/>
      <c r="X16" s="55">
        <v>1</v>
      </c>
      <c r="Y16" s="58">
        <v>0</v>
      </c>
      <c r="Z16" s="59"/>
      <c r="AA16" s="60">
        <v>0</v>
      </c>
      <c r="AB16" s="60"/>
      <c r="AC16" s="60"/>
      <c r="AD16" s="60"/>
      <c r="AE16" s="60"/>
      <c r="AF16" s="60">
        <v>0</v>
      </c>
      <c r="AG16" s="60">
        <v>0</v>
      </c>
      <c r="AH16" s="60">
        <v>0</v>
      </c>
      <c r="AI16" s="61" t="s">
        <v>174</v>
      </c>
      <c r="AJ16" s="62" t="s">
        <v>117</v>
      </c>
      <c r="AK16" s="62" t="s">
        <v>118</v>
      </c>
      <c r="AL16" s="62" t="s">
        <v>80</v>
      </c>
      <c r="AM16" s="58" t="s">
        <v>77</v>
      </c>
      <c r="AN16" s="62"/>
      <c r="AO16" s="62" t="s">
        <v>127</v>
      </c>
      <c r="AP16" s="62" t="str">
        <f t="shared" ref="AP16" si="10">CONCATENATE( AJ16, ".", AL16)</f>
        <v>ATCC1.TapBlkL.setVal</v>
      </c>
      <c r="AQ16" s="62" t="s">
        <v>76</v>
      </c>
      <c r="AR16" s="60">
        <v>0</v>
      </c>
      <c r="AS16" s="60">
        <v>0</v>
      </c>
      <c r="AT16" s="60">
        <v>0</v>
      </c>
      <c r="AU16" s="60">
        <v>0</v>
      </c>
      <c r="AV16" s="60">
        <f>BIN2DEC(CONCATENATE(0,0,0,0,AR16,AS16,AT16,AU16))</f>
        <v>0</v>
      </c>
      <c r="AW16" s="60"/>
      <c r="AX16" s="54"/>
      <c r="AY16" s="60"/>
      <c r="AZ16" s="58"/>
      <c r="BA16" s="60"/>
      <c r="BB16" s="60"/>
      <c r="BC16" s="60"/>
      <c r="BD16" s="60"/>
      <c r="BE16" s="60"/>
      <c r="BF16" s="60"/>
      <c r="BG16" s="63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"БлкНижнN", note: "Положение привода, далее которого блокируются автоматические команды убавить", group: "setting", minValue: 1, maxValue: 40, step: 1, units: "null", defaultValue: 1, eventRegistration: 0</v>
      </c>
      <c r="BH16" s="64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tabSelected="1" workbookViewId="0">
      <selection activeCell="I7" sqref="I7"/>
    </sheetView>
  </sheetViews>
  <sheetFormatPr defaultRowHeight="15.75" x14ac:dyDescent="0.25"/>
  <cols>
    <col min="1" max="1" width="22.42578125" style="51" customWidth="1"/>
    <col min="2" max="2" width="58.5703125" style="51" customWidth="1"/>
    <col min="3" max="16384" width="9.140625" style="51"/>
  </cols>
  <sheetData>
    <row r="2" spans="1:2" x14ac:dyDescent="0.25">
      <c r="A2" s="8" t="s">
        <v>65</v>
      </c>
      <c r="B2" s="8" t="s">
        <v>66</v>
      </c>
    </row>
    <row r="3" spans="1:2" x14ac:dyDescent="0.25">
      <c r="A3" s="17" t="s">
        <v>67</v>
      </c>
      <c r="B3" s="102" t="s">
        <v>208</v>
      </c>
    </row>
    <row r="4" spans="1:2" x14ac:dyDescent="0.25">
      <c r="A4" s="17" t="s">
        <v>68</v>
      </c>
      <c r="B4" s="21">
        <v>40</v>
      </c>
    </row>
    <row r="5" spans="1:2" x14ac:dyDescent="0.25">
      <c r="A5" s="17" t="s">
        <v>69</v>
      </c>
      <c r="B5" s="20" t="s">
        <v>61</v>
      </c>
    </row>
    <row r="6" spans="1:2" x14ac:dyDescent="0.25">
      <c r="A6" s="17" t="s">
        <v>70</v>
      </c>
      <c r="B6" s="22" t="s">
        <v>179</v>
      </c>
    </row>
    <row r="7" spans="1:2" x14ac:dyDescent="0.25">
      <c r="A7" s="17" t="s">
        <v>128</v>
      </c>
      <c r="B7" s="22">
        <v>2</v>
      </c>
    </row>
    <row r="8" spans="1:2" x14ac:dyDescent="0.25">
      <c r="A8" s="53" t="s">
        <v>182</v>
      </c>
      <c r="B8" s="53" t="s">
        <v>183</v>
      </c>
    </row>
    <row r="9" spans="1:2" x14ac:dyDescent="0.25">
      <c r="A9" s="53" t="s">
        <v>184</v>
      </c>
      <c r="B9" s="53"/>
    </row>
    <row r="10" spans="1:2" x14ac:dyDescent="0.25">
      <c r="A10" s="52" t="s">
        <v>180</v>
      </c>
      <c r="B10" s="51" t="s">
        <v>181</v>
      </c>
    </row>
    <row r="11" spans="1:2" x14ac:dyDescent="0.25">
      <c r="A11" s="52" t="s">
        <v>185</v>
      </c>
      <c r="B11" s="51" t="s">
        <v>185</v>
      </c>
    </row>
    <row r="12" spans="1:2" x14ac:dyDescent="0.25">
      <c r="A12" s="53" t="s">
        <v>184</v>
      </c>
      <c r="B12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2025-10-16T09:56:57Z</dcterms:modified>
</cp:coreProperties>
</file>