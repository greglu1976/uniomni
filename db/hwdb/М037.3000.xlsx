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72" i="6" l="1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<sst xmlns="http://schemas.openxmlformats.org/spreadsheetml/2006/main" count="2111" uniqueCount="218">
  <si>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</si>
  <si>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</si>
  <si>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</si>
  <si>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</si>
  <si>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</si>
  <si>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</si>
  <si>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</si>
  <si>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</si>
  <si>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</si>
  <si>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</si>
  <si>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</si>
  <si>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</si>
  <si>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</si>
  <si>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</si>
  <si>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</si>
  <si>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</si>
  <si>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</si>
  <si>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</si>
  <si>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</si>
  <si>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</si>
  <si>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</si>
  <si>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</si>
  <si>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</si>
  <si>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</si>
  <si>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</si>
  <si>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</si>
  <si>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</si>
  <si>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</si>
  <si>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</si>
  <si>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</si>
  <si>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</si>
  <si>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</si>
  <si>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</si>
  <si>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</si>
  <si>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</si>
  <si>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</si>
  <si>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</si>
  <si>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</si>
  <si>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</si>
  <si>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</si>
  <si>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</si>
  <si>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</si>
  <si>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</si>
  <si>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</si>
  <si>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</si>
  <si>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</si>
  <si>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</si>
  <si>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</si>
  <si>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</si>
  <si>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</si>
  <si>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</si>
  <si>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</si>
  <si>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</si>
  <si>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</si>
  <si>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</si>
  <si>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</si>
  <si>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</si>
  <si>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</si>
  <si>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</si>
  <si>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</si>
  <si>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</si>
  <si>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</si>
  <si>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</si>
  <si>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</si>
  <si>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</si>
  <si>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</si>
  <si>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</si>
  <si>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</si>
  <si>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</si>
  <si>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</si>
  <si>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</si>
  <si>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</si>
  <si>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</si>
  <si>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</si>
  <si>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</si>
  <si>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</si>
  <si>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</si>
  <si>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</si>
  <si>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</si>
  <si>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</si>
  <si>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</si>
  <si>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</si>
  <si>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</si>
  <si>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</si>
  <si>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</si>
  <si>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</si>
  <si>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</si>
  <si>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</si>
  <si>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</si>
  <si>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</si>
  <si>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</si>
  <si>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</si>
  <si>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</si>
  <si>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</si>
  <si>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</si>
  <si>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</si>
  <si>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</si>
  <si>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8</t>
  </si>
  <si>
    <t>Измерительный токовый вход 9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</si>
  <si>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</si>
  <si>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</si>
  <si>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</si>
  <si>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</si>
  <si>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</si>
  <si>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</si>
  <si>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</si>
  <si>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</si>
  <si>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</si>
  <si>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</si>
  <si>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</si>
  <si>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</si>
  <si>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</si>
  <si>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</si>
  <si>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</si>
  <si>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</si>
  <si>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</si>
  <si>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</si>
  <si>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</si>
  <si>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</si>
  <si>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</si>
  <si>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</si>
  <si>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</si>
  <si>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</si>
  <si>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</si>
  <si>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</si>
  <si>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</si>
  <si>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</si>
  <si>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</si>
  <si>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</si>
  <si>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</si>
  <si>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</si>
  <si>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</si>
  <si>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</si>
  <si>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</si>
  <si>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</si>
  <si>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</si>
  <si>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</si>
  <si>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</si>
  <si>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</si>
  <si>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</si>
  <si>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</si>
  <si>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</si>
  <si>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</si>
  <si>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</si>
  <si>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</si>
  <si>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</si>
  <si>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</si>
  <si>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</si>
  <si>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</si>
  <si>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</si>
  <si>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</si>
  <si>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</si>
  <si>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</si>
  <si>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</si>
  <si>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</si>
  <si>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</si>
  <si>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</si>
  <si>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</si>
  <si>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</si>
  <si>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</si>
  <si>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</si>
  <si>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</si>
  <si>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</si>
  <si>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</si>
  <si>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</si>
  <si>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</si>
  <si>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</si>
  <si>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</si>
  <si>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</si>
  <si>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</si>
  <si>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</si>
  <si>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</si>
  <si>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</si>
  <si>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</si>
  <si>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</si>
  <si>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</si>
  <si>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</si>
  <si>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</si>
  <si>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</si>
  <si>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</si>
  <si>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</si>
  <si>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</si>
  <si>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</si>
  <si>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</si>
  <si>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</si>
  <si>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</si>
  <si>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</si>
  <si>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</si>
  <si>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</si>
  <si>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</si>
  <si>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</si>
  <si>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</si>
  <si>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</si>
  <si>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</si>
  <si>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</si>
  <si>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</si>
  <si>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</si>
  <si>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</si>
  <si>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</si>
  <si>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</si>
  <si>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</si>
  <si>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</si>
  <si>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</si>
  <si>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</si>
  <si>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</si>
  <si>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</si>
  <si>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</si>
  <si>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</si>
  <si>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</si>
  <si>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</si>
  <si>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</si>
  <si>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</si>
  <si>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</si>
  <si>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</si>
  <si>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</si>
  <si>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М037.3000</t>
  </si>
  <si>
    <t>НапрВ7</t>
  </si>
  <si>
    <t>Измерительный вход напряжения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</si>
</sst>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194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195</v>
      </c>
      <c r="F5" s="20" t="s">
        <v>195</v>
      </c>
      <c r="G5" s="20" t="s">
        <v>195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196</v>
      </c>
      <c r="F6" s="20" t="s">
        <v>197</v>
      </c>
      <c r="G6" s="20" t="s">
        <v>197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198</v>
      </c>
      <c r="F7" s="20" t="s">
        <v>198</v>
      </c>
      <c r="G7" s="20" t="s">
        <v>198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199</v>
      </c>
      <c r="F8" s="20" t="s">
        <v>200</v>
      </c>
      <c r="G8" s="20" t="s">
        <v>200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A91" zoomScale="80" zoomScaleNormal="80" workbookViewId="0">
      <selection activeCell="E69" sqref="E6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203</v>
      </c>
      <c r="E3" s="48" t="s">
        <v>101</v>
      </c>
      <c r="F3" s="48" t="s">
        <v>102</v>
      </c>
      <c r="G3" s="48" t="s">
        <v>102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203</v>
      </c>
      <c r="E4" s="48" t="s">
        <v>103</v>
      </c>
      <c r="F4" s="48" t="s">
        <v>104</v>
      </c>
      <c r="G4" s="48" t="s">
        <v>104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203</v>
      </c>
      <c r="E5" s="48" t="s">
        <v>105</v>
      </c>
      <c r="F5" s="48" t="s">
        <v>106</v>
      </c>
      <c r="G5" s="48" t="s">
        <v>106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203</v>
      </c>
      <c r="E6" s="48" t="s">
        <v>107</v>
      </c>
      <c r="F6" s="48" t="s">
        <v>108</v>
      </c>
      <c r="G6" s="48" t="s">
        <v>108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203</v>
      </c>
      <c r="E7" s="48" t="s">
        <v>109</v>
      </c>
      <c r="F7" s="48" t="s">
        <v>110</v>
      </c>
      <c r="G7" s="48" t="s">
        <v>110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111</v>
      </c>
      <c r="T7" s="47">
        <v>1000000</v>
      </c>
      <c r="U7" s="47" t="s">
        <v>112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203</v>
      </c>
      <c r="E8" s="48" t="s">
        <v>113</v>
      </c>
      <c r="F8" s="48" t="s">
        <v>114</v>
      </c>
      <c r="G8" s="48" t="s">
        <v>114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111</v>
      </c>
      <c r="T8" s="47">
        <v>1000000</v>
      </c>
      <c r="U8" s="47" t="s">
        <v>112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203</v>
      </c>
      <c r="E9" s="48" t="s">
        <v>115</v>
      </c>
      <c r="F9" s="48" t="s">
        <v>116</v>
      </c>
      <c r="G9" s="48" t="s">
        <v>116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111</v>
      </c>
      <c r="T9" s="47">
        <v>1000000</v>
      </c>
      <c r="U9" s="47" t="s">
        <v>112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203</v>
      </c>
      <c r="E10" s="48" t="s">
        <v>117</v>
      </c>
      <c r="F10" s="48" t="s">
        <v>118</v>
      </c>
      <c r="G10" s="48" t="s">
        <v>118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111</v>
      </c>
      <c r="T10" s="47">
        <v>1000000</v>
      </c>
      <c r="U10" s="47" t="s">
        <v>112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203</v>
      </c>
      <c r="E11" s="48" t="s">
        <v>119</v>
      </c>
      <c r="F11" s="48" t="s">
        <v>120</v>
      </c>
      <c r="G11" s="48" t="s">
        <v>120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203</v>
      </c>
      <c r="E12" s="48" t="s">
        <v>121</v>
      </c>
      <c r="F12" s="48" t="s">
        <v>122</v>
      </c>
      <c r="G12" s="48" t="s">
        <v>122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123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205</v>
      </c>
      <c r="E13" s="20" t="s">
        <v>101</v>
      </c>
      <c r="F13" s="20" t="s">
        <v>124</v>
      </c>
      <c r="G13" s="20" t="s">
        <v>124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205</v>
      </c>
      <c r="E14" s="20" t="s">
        <v>103</v>
      </c>
      <c r="F14" s="20" t="s">
        <v>127</v>
      </c>
      <c r="G14" s="20" t="s">
        <v>127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205</v>
      </c>
      <c r="E15" s="20" t="s">
        <v>105</v>
      </c>
      <c r="F15" s="20" t="s">
        <v>125</v>
      </c>
      <c r="G15" s="20" t="s">
        <v>125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205</v>
      </c>
      <c r="E16" s="20" t="s">
        <v>107</v>
      </c>
      <c r="F16" s="20" t="s">
        <v>128</v>
      </c>
      <c r="G16" s="20" t="s">
        <v>128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205</v>
      </c>
      <c r="E17" s="20" t="s">
        <v>109</v>
      </c>
      <c r="F17" s="20" t="s">
        <v>126</v>
      </c>
      <c r="G17" s="20" t="s">
        <v>126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111</v>
      </c>
      <c r="T17" s="25">
        <v>1000000</v>
      </c>
      <c r="U17" s="25" t="s">
        <v>112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205</v>
      </c>
      <c r="E18" s="20" t="s">
        <v>113</v>
      </c>
      <c r="F18" s="20" t="s">
        <v>129</v>
      </c>
      <c r="G18" s="20" t="s">
        <v>129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111</v>
      </c>
      <c r="T18" s="25">
        <v>1000000</v>
      </c>
      <c r="U18" s="25" t="s">
        <v>112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205</v>
      </c>
      <c r="E19" s="20" t="s">
        <v>115</v>
      </c>
      <c r="F19" s="20" t="s">
        <v>133</v>
      </c>
      <c r="G19" s="20" t="s">
        <v>133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111</v>
      </c>
      <c r="T19" s="25">
        <v>1000000</v>
      </c>
      <c r="U19" s="25" t="s">
        <v>112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205</v>
      </c>
      <c r="E20" s="20" t="s">
        <v>117</v>
      </c>
      <c r="F20" s="20" t="s">
        <v>130</v>
      </c>
      <c r="G20" s="20" t="s">
        <v>130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111</v>
      </c>
      <c r="T20" s="25">
        <v>1000000</v>
      </c>
      <c r="U20" s="25" t="s">
        <v>112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205</v>
      </c>
      <c r="E21" s="20" t="s">
        <v>119</v>
      </c>
      <c r="F21" s="20" t="s">
        <v>132</v>
      </c>
      <c r="G21" s="20" t="s">
        <v>132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205</v>
      </c>
      <c r="E22" s="20" t="s">
        <v>121</v>
      </c>
      <c r="F22" s="20" t="s">
        <v>131</v>
      </c>
      <c r="G22" s="20" t="s">
        <v>131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123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207</v>
      </c>
      <c r="E23" s="48" t="s">
        <v>101</v>
      </c>
      <c r="F23" s="48" t="s">
        <v>134</v>
      </c>
      <c r="G23" s="48" t="s">
        <v>134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207</v>
      </c>
      <c r="E24" s="48" t="s">
        <v>103</v>
      </c>
      <c r="F24" s="48" t="s">
        <v>135</v>
      </c>
      <c r="G24" s="48" t="s">
        <v>135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207</v>
      </c>
      <c r="E25" s="48" t="s">
        <v>105</v>
      </c>
      <c r="F25" s="48" t="s">
        <v>136</v>
      </c>
      <c r="G25" s="48" t="s">
        <v>136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207</v>
      </c>
      <c r="E26" s="48" t="s">
        <v>107</v>
      </c>
      <c r="F26" s="48" t="s">
        <v>137</v>
      </c>
      <c r="G26" s="48" t="s">
        <v>137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207</v>
      </c>
      <c r="E27" s="48" t="s">
        <v>109</v>
      </c>
      <c r="F27" s="48" t="s">
        <v>138</v>
      </c>
      <c r="G27" s="48" t="s">
        <v>138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111</v>
      </c>
      <c r="T27" s="47">
        <v>1000000</v>
      </c>
      <c r="U27" s="47" t="s">
        <v>112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207</v>
      </c>
      <c r="E28" s="48" t="s">
        <v>113</v>
      </c>
      <c r="F28" s="48" t="s">
        <v>139</v>
      </c>
      <c r="G28" s="48" t="s">
        <v>139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111</v>
      </c>
      <c r="T28" s="47">
        <v>1000000</v>
      </c>
      <c r="U28" s="47" t="s">
        <v>112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207</v>
      </c>
      <c r="E29" s="48" t="s">
        <v>115</v>
      </c>
      <c r="F29" s="48" t="s">
        <v>140</v>
      </c>
      <c r="G29" s="48" t="s">
        <v>140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111</v>
      </c>
      <c r="T29" s="47">
        <v>1000000</v>
      </c>
      <c r="U29" s="47" t="s">
        <v>112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207</v>
      </c>
      <c r="E30" s="48" t="s">
        <v>117</v>
      </c>
      <c r="F30" s="48" t="s">
        <v>141</v>
      </c>
      <c r="G30" s="48" t="s">
        <v>141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111</v>
      </c>
      <c r="T30" s="47">
        <v>1000000</v>
      </c>
      <c r="U30" s="47" t="s">
        <v>112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207</v>
      </c>
      <c r="E31" s="48" t="s">
        <v>119</v>
      </c>
      <c r="F31" s="48" t="s">
        <v>142</v>
      </c>
      <c r="G31" s="48" t="s">
        <v>142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207</v>
      </c>
      <c r="E32" s="48" t="s">
        <v>121</v>
      </c>
      <c r="F32" s="48" t="s">
        <v>143</v>
      </c>
      <c r="G32" s="48" t="s">
        <v>143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123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209</v>
      </c>
      <c r="E33" s="20" t="s">
        <v>101</v>
      </c>
      <c r="F33" s="20" t="s">
        <v>144</v>
      </c>
      <c r="G33" s="20" t="s">
        <v>144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209</v>
      </c>
      <c r="E34" s="20" t="s">
        <v>103</v>
      </c>
      <c r="F34" s="20" t="s">
        <v>145</v>
      </c>
      <c r="G34" s="20" t="s">
        <v>145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209</v>
      </c>
      <c r="E35" s="20" t="s">
        <v>105</v>
      </c>
      <c r="F35" s="20" t="s">
        <v>146</v>
      </c>
      <c r="G35" s="20" t="s">
        <v>146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209</v>
      </c>
      <c r="E36" s="20" t="s">
        <v>107</v>
      </c>
      <c r="F36" s="20" t="s">
        <v>147</v>
      </c>
      <c r="G36" s="20" t="s">
        <v>147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209</v>
      </c>
      <c r="E37" s="20" t="s">
        <v>109</v>
      </c>
      <c r="F37" s="20" t="s">
        <v>148</v>
      </c>
      <c r="G37" s="20" t="s">
        <v>148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111</v>
      </c>
      <c r="T37" s="25">
        <v>1000000</v>
      </c>
      <c r="U37" s="25" t="s">
        <v>112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209</v>
      </c>
      <c r="E38" s="20" t="s">
        <v>113</v>
      </c>
      <c r="F38" s="20" t="s">
        <v>149</v>
      </c>
      <c r="G38" s="20" t="s">
        <v>149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111</v>
      </c>
      <c r="T38" s="25">
        <v>1000000</v>
      </c>
      <c r="U38" s="25" t="s">
        <v>112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209</v>
      </c>
      <c r="E39" s="20" t="s">
        <v>115</v>
      </c>
      <c r="F39" s="20" t="s">
        <v>150</v>
      </c>
      <c r="G39" s="20" t="s">
        <v>150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111</v>
      </c>
      <c r="T39" s="25">
        <v>1000000</v>
      </c>
      <c r="U39" s="25" t="s">
        <v>112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209</v>
      </c>
      <c r="E40" s="20" t="s">
        <v>117</v>
      </c>
      <c r="F40" s="20" t="s">
        <v>151</v>
      </c>
      <c r="G40" s="20" t="s">
        <v>151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111</v>
      </c>
      <c r="T40" s="25">
        <v>1000000</v>
      </c>
      <c r="U40" s="25" t="s">
        <v>112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209</v>
      </c>
      <c r="E41" s="20" t="s">
        <v>119</v>
      </c>
      <c r="F41" s="20" t="s">
        <v>152</v>
      </c>
      <c r="G41" s="20" t="s">
        <v>152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209</v>
      </c>
      <c r="E42" s="20" t="s">
        <v>121</v>
      </c>
      <c r="F42" s="20" t="s">
        <v>153</v>
      </c>
      <c r="G42" s="20" t="s">
        <v>153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123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201</v>
      </c>
      <c r="E43" s="48" t="s">
        <v>101</v>
      </c>
      <c r="F43" s="48" t="s">
        <v>154</v>
      </c>
      <c r="G43" s="48" t="s">
        <v>154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201</v>
      </c>
      <c r="E44" s="48" t="s">
        <v>103</v>
      </c>
      <c r="F44" s="48" t="s">
        <v>155</v>
      </c>
      <c r="G44" s="48" t="s">
        <v>155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201</v>
      </c>
      <c r="E45" s="48" t="s">
        <v>105</v>
      </c>
      <c r="F45" s="48" t="s">
        <v>156</v>
      </c>
      <c r="G45" s="48" t="s">
        <v>156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201</v>
      </c>
      <c r="E46" s="48" t="s">
        <v>107</v>
      </c>
      <c r="F46" s="48" t="s">
        <v>157</v>
      </c>
      <c r="G46" s="48" t="s">
        <v>157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201</v>
      </c>
      <c r="E47" s="48" t="s">
        <v>109</v>
      </c>
      <c r="F47" s="48" t="s">
        <v>158</v>
      </c>
      <c r="G47" s="48" t="s">
        <v>158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111</v>
      </c>
      <c r="T47" s="47">
        <v>1000000</v>
      </c>
      <c r="U47" s="47" t="s">
        <v>112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201</v>
      </c>
      <c r="E48" s="48" t="s">
        <v>113</v>
      </c>
      <c r="F48" s="48" t="s">
        <v>159</v>
      </c>
      <c r="G48" s="48" t="s">
        <v>159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111</v>
      </c>
      <c r="T48" s="47">
        <v>1000000</v>
      </c>
      <c r="U48" s="47" t="s">
        <v>112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201</v>
      </c>
      <c r="E49" s="48" t="s">
        <v>115</v>
      </c>
      <c r="F49" s="48" t="s">
        <v>160</v>
      </c>
      <c r="G49" s="48" t="s">
        <v>160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111</v>
      </c>
      <c r="T49" s="47">
        <v>1000000</v>
      </c>
      <c r="U49" s="47" t="s">
        <v>112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201</v>
      </c>
      <c r="E50" s="48" t="s">
        <v>117</v>
      </c>
      <c r="F50" s="48" t="s">
        <v>161</v>
      </c>
      <c r="G50" s="48" t="s">
        <v>161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111</v>
      </c>
      <c r="T50" s="47">
        <v>1000000</v>
      </c>
      <c r="U50" s="47" t="s">
        <v>112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201</v>
      </c>
      <c r="E51" s="48" t="s">
        <v>119</v>
      </c>
      <c r="F51" s="48" t="s">
        <v>162</v>
      </c>
      <c r="G51" s="48" t="s">
        <v>162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201</v>
      </c>
      <c r="E52" s="48" t="s">
        <v>121</v>
      </c>
      <c r="F52" s="48" t="s">
        <v>163</v>
      </c>
      <c r="G52" s="48" t="s">
        <v>163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123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211</v>
      </c>
      <c r="E53" s="20" t="s">
        <v>101</v>
      </c>
      <c r="F53" s="20" t="s">
        <v>164</v>
      </c>
      <c r="G53" s="20" t="s">
        <v>164</v>
      </c>
      <c r="H53" s="20"/>
      <c r="I53" s="20">
        <f t="shared" ref="I53:I72" si="60">LEN(F53)</f>
        <v>29</v>
      </c>
      <c r="J53" s="20" t="str">
        <f t="shared" ref="J53:J7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7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7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211</v>
      </c>
      <c r="E54" s="20" t="s">
        <v>103</v>
      </c>
      <c r="F54" s="20" t="s">
        <v>165</v>
      </c>
      <c r="G54" s="20" t="s">
        <v>165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211</v>
      </c>
      <c r="E55" s="20" t="s">
        <v>105</v>
      </c>
      <c r="F55" s="20" t="s">
        <v>166</v>
      </c>
      <c r="G55" s="20" t="s">
        <v>166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211</v>
      </c>
      <c r="E56" s="20" t="s">
        <v>107</v>
      </c>
      <c r="F56" s="20" t="s">
        <v>167</v>
      </c>
      <c r="G56" s="20" t="s">
        <v>167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211</v>
      </c>
      <c r="E57" s="20" t="s">
        <v>109</v>
      </c>
      <c r="F57" s="20" t="s">
        <v>168</v>
      </c>
      <c r="G57" s="20" t="s">
        <v>168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111</v>
      </c>
      <c r="T57" s="25">
        <v>1000000</v>
      </c>
      <c r="U57" s="25" t="s">
        <v>112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211</v>
      </c>
      <c r="E58" s="20" t="s">
        <v>113</v>
      </c>
      <c r="F58" s="20" t="s">
        <v>169</v>
      </c>
      <c r="G58" s="20" t="s">
        <v>169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111</v>
      </c>
      <c r="T58" s="25">
        <v>1000000</v>
      </c>
      <c r="U58" s="25" t="s">
        <v>112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211</v>
      </c>
      <c r="E59" s="20" t="s">
        <v>115</v>
      </c>
      <c r="F59" s="20" t="s">
        <v>170</v>
      </c>
      <c r="G59" s="20" t="s">
        <v>170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111</v>
      </c>
      <c r="T59" s="25">
        <v>1000000</v>
      </c>
      <c r="U59" s="25" t="s">
        <v>112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211</v>
      </c>
      <c r="E60" s="20" t="s">
        <v>117</v>
      </c>
      <c r="F60" s="20" t="s">
        <v>171</v>
      </c>
      <c r="G60" s="20" t="s">
        <v>171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111</v>
      </c>
      <c r="T60" s="25">
        <v>1000000</v>
      </c>
      <c r="U60" s="25" t="s">
        <v>112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211</v>
      </c>
      <c r="E61" s="20" t="s">
        <v>119</v>
      </c>
      <c r="F61" s="20" t="s">
        <v>172</v>
      </c>
      <c r="G61" s="20" t="s">
        <v>172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211</v>
      </c>
      <c r="E62" s="20" t="s">
        <v>121</v>
      </c>
      <c r="F62" s="20" t="s">
        <v>173</v>
      </c>
      <c r="G62" s="20" t="s">
        <v>173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123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216</v>
      </c>
      <c r="E63" s="48" t="s">
        <v>101</v>
      </c>
      <c r="F63" s="48" t="s">
        <v>154</v>
      </c>
      <c r="G63" s="48" t="s">
        <v>154</v>
      </c>
      <c r="H63" s="48"/>
      <c r="I63" s="48">
        <f t="shared" si="60"/>
        <v>29</v>
      </c>
      <c r="J63" s="48" t="str">
        <f t="shared" si="61"/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5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6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6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216</v>
      </c>
      <c r="E64" s="48" t="s">
        <v>103</v>
      </c>
      <c r="F64" s="48" t="s">
        <v>155</v>
      </c>
      <c r="G64" s="48" t="s">
        <v>155</v>
      </c>
      <c r="H64" s="48"/>
      <c r="I64" s="48">
        <f t="shared" si="60"/>
        <v>28</v>
      </c>
      <c r="J64" s="48" t="str">
        <f t="shared" si="61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5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216</v>
      </c>
      <c r="E65" s="48" t="s">
        <v>105</v>
      </c>
      <c r="F65" s="48" t="s">
        <v>156</v>
      </c>
      <c r="G65" s="48" t="s">
        <v>156</v>
      </c>
      <c r="H65" s="48"/>
      <c r="I65" s="48">
        <f t="shared" si="60"/>
        <v>30</v>
      </c>
      <c r="J65" s="48" t="str">
        <f t="shared" si="61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5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216</v>
      </c>
      <c r="E66" s="48" t="s">
        <v>107</v>
      </c>
      <c r="F66" s="48" t="s">
        <v>157</v>
      </c>
      <c r="G66" s="48" t="s">
        <v>157</v>
      </c>
      <c r="H66" s="48"/>
      <c r="I66" s="48">
        <f t="shared" si="60"/>
        <v>29</v>
      </c>
      <c r="J66" s="48" t="str">
        <f t="shared" si="61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5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216</v>
      </c>
      <c r="E67" s="48" t="s">
        <v>109</v>
      </c>
      <c r="F67" s="48" t="s">
        <v>158</v>
      </c>
      <c r="G67" s="48" t="s">
        <v>158</v>
      </c>
      <c r="H67" s="48"/>
      <c r="I67" s="48">
        <f t="shared" si="60"/>
        <v>34</v>
      </c>
      <c r="J67" s="48" t="str">
        <f t="shared" si="61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111</v>
      </c>
      <c r="T67" s="47">
        <v>1000000</v>
      </c>
      <c r="U67" s="47" t="s">
        <v>112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5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216</v>
      </c>
      <c r="E68" s="48" t="s">
        <v>113</v>
      </c>
      <c r="F68" s="48" t="s">
        <v>159</v>
      </c>
      <c r="G68" s="48" t="s">
        <v>159</v>
      </c>
      <c r="H68" s="48"/>
      <c r="I68" s="48">
        <f t="shared" si="60"/>
        <v>34</v>
      </c>
      <c r="J68" s="48" t="str">
        <f t="shared" si="61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111</v>
      </c>
      <c r="T68" s="47">
        <v>1000000</v>
      </c>
      <c r="U68" s="47" t="s">
        <v>112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5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216</v>
      </c>
      <c r="E69" s="48" t="s">
        <v>115</v>
      </c>
      <c r="F69" s="48" t="s">
        <v>160</v>
      </c>
      <c r="G69" s="48" t="s">
        <v>160</v>
      </c>
      <c r="H69" s="48"/>
      <c r="I69" s="48">
        <f t="shared" si="60"/>
        <v>27</v>
      </c>
      <c r="J69" s="48" t="str">
        <f t="shared" si="61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111</v>
      </c>
      <c r="T69" s="47">
        <v>1000000</v>
      </c>
      <c r="U69" s="47" t="s">
        <v>112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5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216</v>
      </c>
      <c r="E70" s="48" t="s">
        <v>117</v>
      </c>
      <c r="F70" s="48" t="s">
        <v>161</v>
      </c>
      <c r="G70" s="48" t="s">
        <v>161</v>
      </c>
      <c r="H70" s="48"/>
      <c r="I70" s="48">
        <f t="shared" si="60"/>
        <v>39</v>
      </c>
      <c r="J70" s="48" t="str">
        <f t="shared" si="61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111</v>
      </c>
      <c r="T70" s="47">
        <v>1000000</v>
      </c>
      <c r="U70" s="47" t="s">
        <v>112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5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216</v>
      </c>
      <c r="E71" s="48" t="s">
        <v>119</v>
      </c>
      <c r="F71" s="48" t="s">
        <v>162</v>
      </c>
      <c r="G71" s="48" t="s">
        <v>162</v>
      </c>
      <c r="H71" s="48"/>
      <c r="I71" s="48">
        <f t="shared" si="60"/>
        <v>15</v>
      </c>
      <c r="J71" s="48" t="str">
        <f t="shared" si="61"/>
        <v>Метод расчета 5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5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4"/>
        <v>description: "Метод расчета 5",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216</v>
      </c>
      <c r="E72" s="48" t="s">
        <v>121</v>
      </c>
      <c r="F72" s="48" t="s">
        <v>163</v>
      </c>
      <c r="G72" s="48" t="s">
        <v>163</v>
      </c>
      <c r="H72" s="49"/>
      <c r="I72" s="48">
        <f t="shared" si="60"/>
        <v>38</v>
      </c>
      <c r="J72" s="48" t="str">
        <f t="shared" si="61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123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99</v>
      </c>
      <c r="E73" s="20" t="s">
        <v>101</v>
      </c>
      <c r="F73" s="20" t="s">
        <v>174</v>
      </c>
      <c r="G73" s="20" t="s">
        <v>174</v>
      </c>
      <c r="H73" s="20"/>
      <c r="I73" s="20">
        <f t="shared" ref="I73:I82" si="66">LEN(F73)</f>
        <v>29</v>
      </c>
      <c r="J73" s="20" t="str">
        <f t="shared" ref="J73:J82" si="67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6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69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0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99</v>
      </c>
      <c r="E74" s="20" t="s">
        <v>103</v>
      </c>
      <c r="F74" s="20" t="s">
        <v>175</v>
      </c>
      <c r="G74" s="20" t="s">
        <v>175</v>
      </c>
      <c r="H74" s="20"/>
      <c r="I74" s="20">
        <f t="shared" si="66"/>
        <v>28</v>
      </c>
      <c r="J74" s="20" t="str">
        <f t="shared" si="67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6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69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0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99</v>
      </c>
      <c r="E75" s="20" t="s">
        <v>105</v>
      </c>
      <c r="F75" s="20" t="s">
        <v>176</v>
      </c>
      <c r="G75" s="20" t="s">
        <v>176</v>
      </c>
      <c r="H75" s="20"/>
      <c r="I75" s="20">
        <f t="shared" si="66"/>
        <v>30</v>
      </c>
      <c r="J75" s="20" t="str">
        <f t="shared" si="67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6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69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0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99</v>
      </c>
      <c r="E76" s="20" t="s">
        <v>107</v>
      </c>
      <c r="F76" s="20" t="s">
        <v>177</v>
      </c>
      <c r="G76" s="20" t="s">
        <v>177</v>
      </c>
      <c r="H76" s="20"/>
      <c r="I76" s="20">
        <f t="shared" si="66"/>
        <v>29</v>
      </c>
      <c r="J76" s="20" t="str">
        <f t="shared" si="67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6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69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0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99</v>
      </c>
      <c r="E77" s="20" t="s">
        <v>109</v>
      </c>
      <c r="F77" s="20" t="s">
        <v>178</v>
      </c>
      <c r="G77" s="20" t="s">
        <v>178</v>
      </c>
      <c r="H77" s="20"/>
      <c r="I77" s="20">
        <f t="shared" si="66"/>
        <v>34</v>
      </c>
      <c r="J77" s="20" t="str">
        <f t="shared" si="67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111</v>
      </c>
      <c r="T77" s="25">
        <v>1000000</v>
      </c>
      <c r="U77" s="25" t="s">
        <v>112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6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69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0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99</v>
      </c>
      <c r="E78" s="20" t="s">
        <v>113</v>
      </c>
      <c r="F78" s="20" t="s">
        <v>179</v>
      </c>
      <c r="G78" s="20" t="s">
        <v>179</v>
      </c>
      <c r="H78" s="20"/>
      <c r="I78" s="20">
        <f t="shared" si="66"/>
        <v>34</v>
      </c>
      <c r="J78" s="20" t="str">
        <f t="shared" si="67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111</v>
      </c>
      <c r="T78" s="25">
        <v>1000000</v>
      </c>
      <c r="U78" s="25" t="s">
        <v>112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6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69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0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99</v>
      </c>
      <c r="E79" s="20" t="s">
        <v>115</v>
      </c>
      <c r="F79" s="20" t="s">
        <v>180</v>
      </c>
      <c r="G79" s="20" t="s">
        <v>180</v>
      </c>
      <c r="H79" s="20"/>
      <c r="I79" s="20">
        <f t="shared" si="66"/>
        <v>27</v>
      </c>
      <c r="J79" s="20" t="str">
        <f t="shared" si="67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111</v>
      </c>
      <c r="T79" s="25">
        <v>1000000</v>
      </c>
      <c r="U79" s="25" t="s">
        <v>112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6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69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0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99</v>
      </c>
      <c r="E80" s="20" t="s">
        <v>117</v>
      </c>
      <c r="F80" s="20" t="s">
        <v>181</v>
      </c>
      <c r="G80" s="20" t="s">
        <v>181</v>
      </c>
      <c r="H80" s="20"/>
      <c r="I80" s="20">
        <f t="shared" si="66"/>
        <v>39</v>
      </c>
      <c r="J80" s="20" t="str">
        <f t="shared" si="67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111</v>
      </c>
      <c r="T80" s="25">
        <v>1000000</v>
      </c>
      <c r="U80" s="25" t="s">
        <v>112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6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69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0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99</v>
      </c>
      <c r="E81" s="20" t="s">
        <v>119</v>
      </c>
      <c r="F81" s="20" t="s">
        <v>182</v>
      </c>
      <c r="G81" s="20" t="s">
        <v>182</v>
      </c>
      <c r="H81" s="20"/>
      <c r="I81" s="20">
        <f t="shared" si="66"/>
        <v>15</v>
      </c>
      <c r="J81" s="20" t="str">
        <f t="shared" si="67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6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69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0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99</v>
      </c>
      <c r="E82" s="20" t="s">
        <v>121</v>
      </c>
      <c r="F82" s="20" t="s">
        <v>183</v>
      </c>
      <c r="G82" s="20" t="s">
        <v>183</v>
      </c>
      <c r="H82" s="44"/>
      <c r="I82" s="20">
        <f t="shared" si="66"/>
        <v>38</v>
      </c>
      <c r="J82" s="20" t="str">
        <f t="shared" si="67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123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69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0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100</v>
      </c>
      <c r="E83" s="48" t="s">
        <v>101</v>
      </c>
      <c r="F83" s="48" t="s">
        <v>184</v>
      </c>
      <c r="G83" s="48" t="s">
        <v>184</v>
      </c>
      <c r="H83" s="48"/>
      <c r="I83" s="48">
        <f t="shared" ref="I83:I92" si="71">LEN(F83)</f>
        <v>29</v>
      </c>
      <c r="J83" s="48" t="str">
        <f t="shared" ref="J83:J92" si="72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3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4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5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100</v>
      </c>
      <c r="E84" s="48" t="s">
        <v>103</v>
      </c>
      <c r="F84" s="48" t="s">
        <v>185</v>
      </c>
      <c r="G84" s="48" t="s">
        <v>185</v>
      </c>
      <c r="H84" s="48"/>
      <c r="I84" s="48">
        <f t="shared" si="71"/>
        <v>28</v>
      </c>
      <c r="J84" s="48" t="str">
        <f t="shared" si="72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3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4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5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100</v>
      </c>
      <c r="E85" s="48" t="s">
        <v>105</v>
      </c>
      <c r="F85" s="48" t="s">
        <v>186</v>
      </c>
      <c r="G85" s="48" t="s">
        <v>186</v>
      </c>
      <c r="H85" s="48"/>
      <c r="I85" s="48">
        <f t="shared" si="71"/>
        <v>30</v>
      </c>
      <c r="J85" s="48" t="str">
        <f t="shared" si="72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3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4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5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100</v>
      </c>
      <c r="E86" s="48" t="s">
        <v>107</v>
      </c>
      <c r="F86" s="48" t="s">
        <v>187</v>
      </c>
      <c r="G86" s="48" t="s">
        <v>187</v>
      </c>
      <c r="H86" s="48"/>
      <c r="I86" s="48">
        <f t="shared" si="71"/>
        <v>29</v>
      </c>
      <c r="J86" s="48" t="str">
        <f t="shared" si="72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3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4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5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100</v>
      </c>
      <c r="E87" s="48" t="s">
        <v>109</v>
      </c>
      <c r="F87" s="48" t="s">
        <v>188</v>
      </c>
      <c r="G87" s="48" t="s">
        <v>188</v>
      </c>
      <c r="H87" s="48"/>
      <c r="I87" s="48">
        <f t="shared" si="71"/>
        <v>34</v>
      </c>
      <c r="J87" s="48" t="str">
        <f t="shared" si="72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111</v>
      </c>
      <c r="T87" s="47">
        <v>1000000</v>
      </c>
      <c r="U87" s="47" t="s">
        <v>112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3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4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5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100</v>
      </c>
      <c r="E88" s="48" t="s">
        <v>113</v>
      </c>
      <c r="F88" s="48" t="s">
        <v>189</v>
      </c>
      <c r="G88" s="48" t="s">
        <v>189</v>
      </c>
      <c r="H88" s="48"/>
      <c r="I88" s="48">
        <f t="shared" si="71"/>
        <v>34</v>
      </c>
      <c r="J88" s="48" t="str">
        <f t="shared" si="72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111</v>
      </c>
      <c r="T88" s="47">
        <v>1000000</v>
      </c>
      <c r="U88" s="47" t="s">
        <v>112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3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4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5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100</v>
      </c>
      <c r="E89" s="48" t="s">
        <v>115</v>
      </c>
      <c r="F89" s="48" t="s">
        <v>190</v>
      </c>
      <c r="G89" s="48" t="s">
        <v>190</v>
      </c>
      <c r="H89" s="48"/>
      <c r="I89" s="48">
        <f t="shared" si="71"/>
        <v>27</v>
      </c>
      <c r="J89" s="48" t="str">
        <f t="shared" si="72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111</v>
      </c>
      <c r="T89" s="47">
        <v>1000000</v>
      </c>
      <c r="U89" s="47" t="s">
        <v>112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3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4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5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100</v>
      </c>
      <c r="E90" s="48" t="s">
        <v>117</v>
      </c>
      <c r="F90" s="48" t="s">
        <v>191</v>
      </c>
      <c r="G90" s="48" t="s">
        <v>191</v>
      </c>
      <c r="H90" s="48"/>
      <c r="I90" s="48">
        <f t="shared" si="71"/>
        <v>39</v>
      </c>
      <c r="J90" s="48" t="str">
        <f t="shared" si="72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111</v>
      </c>
      <c r="T90" s="47">
        <v>1000000</v>
      </c>
      <c r="U90" s="47" t="s">
        <v>112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3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4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5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100</v>
      </c>
      <c r="E91" s="48" t="s">
        <v>119</v>
      </c>
      <c r="F91" s="48" t="s">
        <v>192</v>
      </c>
      <c r="G91" s="48" t="s">
        <v>192</v>
      </c>
      <c r="H91" s="48"/>
      <c r="I91" s="48">
        <f t="shared" si="71"/>
        <v>15</v>
      </c>
      <c r="J91" s="48" t="str">
        <f t="shared" si="72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3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4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5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100</v>
      </c>
      <c r="E92" s="48" t="s">
        <v>121</v>
      </c>
      <c r="F92" s="48" t="s">
        <v>193</v>
      </c>
      <c r="G92" s="48" t="s">
        <v>193</v>
      </c>
      <c r="H92" s="49"/>
      <c r="I92" s="48">
        <f t="shared" si="71"/>
        <v>38</v>
      </c>
      <c r="J92" s="48" t="str">
        <f t="shared" si="72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123</v>
      </c>
      <c r="S92" s="47">
        <v>0</v>
      </c>
      <c r="T92" s="47">
        <v>99</v>
      </c>
      <c r="U92" s="47">
        <v>1</v>
      </c>
      <c r="V92" s="47"/>
      <c r="W92" s="47"/>
      <c r="X92" s="47">
        <v>0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4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5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213</v>
      </c>
      <c r="E93" s="63" t="s">
        <v>101</v>
      </c>
      <c r="F93" s="63" t="s">
        <v>184</v>
      </c>
      <c r="G93" s="63" t="s">
        <v>184</v>
      </c>
      <c r="H93" s="63"/>
      <c r="I93" s="63">
        <f t="shared" ref="I93:I102" si="76">LEN(F93)</f>
        <v>29</v>
      </c>
      <c r="J93" s="63" t="str">
        <f t="shared" ref="J93:J102" si="77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78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79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213</v>
      </c>
      <c r="E94" s="63" t="s">
        <v>103</v>
      </c>
      <c r="F94" s="63" t="s">
        <v>185</v>
      </c>
      <c r="G94" s="63" t="s">
        <v>185</v>
      </c>
      <c r="H94" s="63"/>
      <c r="I94" s="63">
        <f t="shared" si="76"/>
        <v>28</v>
      </c>
      <c r="J94" s="63" t="str">
        <f t="shared" si="77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78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79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0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213</v>
      </c>
      <c r="E95" s="63" t="s">
        <v>105</v>
      </c>
      <c r="F95" s="63" t="s">
        <v>186</v>
      </c>
      <c r="G95" s="63" t="s">
        <v>186</v>
      </c>
      <c r="H95" s="63"/>
      <c r="I95" s="63">
        <f t="shared" si="76"/>
        <v>30</v>
      </c>
      <c r="J95" s="63" t="str">
        <f t="shared" si="77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78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79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0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213</v>
      </c>
      <c r="E96" s="63" t="s">
        <v>107</v>
      </c>
      <c r="F96" s="63" t="s">
        <v>187</v>
      </c>
      <c r="G96" s="63" t="s">
        <v>187</v>
      </c>
      <c r="H96" s="63"/>
      <c r="I96" s="63">
        <f t="shared" si="76"/>
        <v>29</v>
      </c>
      <c r="J96" s="63" t="str">
        <f t="shared" si="77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78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79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0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213</v>
      </c>
      <c r="E97" s="63" t="s">
        <v>109</v>
      </c>
      <c r="F97" s="63" t="s">
        <v>188</v>
      </c>
      <c r="G97" s="63" t="s">
        <v>188</v>
      </c>
      <c r="H97" s="63"/>
      <c r="I97" s="63">
        <f t="shared" si="76"/>
        <v>34</v>
      </c>
      <c r="J97" s="63" t="str">
        <f t="shared" si="77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111</v>
      </c>
      <c r="T97" s="61">
        <v>1000000</v>
      </c>
      <c r="U97" s="61" t="s">
        <v>112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78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79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0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213</v>
      </c>
      <c r="E98" s="63" t="s">
        <v>113</v>
      </c>
      <c r="F98" s="63" t="s">
        <v>189</v>
      </c>
      <c r="G98" s="63" t="s">
        <v>189</v>
      </c>
      <c r="H98" s="63"/>
      <c r="I98" s="63">
        <f t="shared" si="76"/>
        <v>34</v>
      </c>
      <c r="J98" s="63" t="str">
        <f t="shared" si="77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111</v>
      </c>
      <c r="T98" s="61">
        <v>1000000</v>
      </c>
      <c r="U98" s="61" t="s">
        <v>112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78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79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0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213</v>
      </c>
      <c r="E99" s="63" t="s">
        <v>115</v>
      </c>
      <c r="F99" s="63" t="s">
        <v>190</v>
      </c>
      <c r="G99" s="63" t="s">
        <v>190</v>
      </c>
      <c r="H99" s="63"/>
      <c r="I99" s="63">
        <f t="shared" si="76"/>
        <v>27</v>
      </c>
      <c r="J99" s="63" t="str">
        <f t="shared" si="77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111</v>
      </c>
      <c r="T99" s="61">
        <v>1000000</v>
      </c>
      <c r="U99" s="61" t="s">
        <v>112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78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79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0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213</v>
      </c>
      <c r="E100" s="63" t="s">
        <v>117</v>
      </c>
      <c r="F100" s="63" t="s">
        <v>191</v>
      </c>
      <c r="G100" s="63" t="s">
        <v>191</v>
      </c>
      <c r="H100" s="63"/>
      <c r="I100" s="63">
        <f t="shared" si="76"/>
        <v>39</v>
      </c>
      <c r="J100" s="63" t="str">
        <f t="shared" si="77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111</v>
      </c>
      <c r="T100" s="61">
        <v>1000000</v>
      </c>
      <c r="U100" s="61" t="s">
        <v>112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78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79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0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213</v>
      </c>
      <c r="E101" s="63" t="s">
        <v>119</v>
      </c>
      <c r="F101" s="63" t="s">
        <v>192</v>
      </c>
      <c r="G101" s="63" t="s">
        <v>192</v>
      </c>
      <c r="H101" s="63"/>
      <c r="I101" s="63">
        <f t="shared" si="76"/>
        <v>15</v>
      </c>
      <c r="J101" s="63" t="str">
        <f t="shared" si="77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78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79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0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213</v>
      </c>
      <c r="E102" s="63" t="s">
        <v>121</v>
      </c>
      <c r="F102" s="63" t="s">
        <v>193</v>
      </c>
      <c r="G102" s="63" t="s">
        <v>193</v>
      </c>
      <c r="H102" s="72"/>
      <c r="I102" s="63">
        <f t="shared" si="76"/>
        <v>38</v>
      </c>
      <c r="J102" s="63" t="str">
        <f t="shared" si="77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123</v>
      </c>
      <c r="S102" s="61">
        <v>0</v>
      </c>
      <c r="T102" s="61">
        <v>99</v>
      </c>
      <c r="U102" s="61">
        <v>1</v>
      </c>
      <c r="V102" s="61"/>
      <c r="W102" s="61"/>
      <c r="X102" s="61">
        <v>0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79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0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F21" sqref="F2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215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215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203</v>
      </c>
      <c r="B14" s="40" t="s">
        <v>204</v>
      </c>
    </row>
    <row r="15" spans="1:2" x14ac:dyDescent="0.25">
      <c r="A15" s="58" t="s">
        <v>205</v>
      </c>
      <c r="B15" s="40" t="s">
        <v>206</v>
      </c>
    </row>
    <row r="16" spans="1:2" x14ac:dyDescent="0.25">
      <c r="A16" s="58" t="s">
        <v>207</v>
      </c>
      <c r="B16" s="40" t="s">
        <v>208</v>
      </c>
    </row>
    <row r="17" spans="1:2" x14ac:dyDescent="0.25">
      <c r="A17" s="58" t="s">
        <v>209</v>
      </c>
      <c r="B17" s="40" t="s">
        <v>210</v>
      </c>
    </row>
    <row r="18" spans="1:2" x14ac:dyDescent="0.25">
      <c r="A18" s="58" t="s">
        <v>201</v>
      </c>
      <c r="B18" s="40" t="s">
        <v>202</v>
      </c>
    </row>
    <row r="19" spans="1:2" x14ac:dyDescent="0.25">
      <c r="A19" s="58" t="s">
        <v>211</v>
      </c>
      <c r="B19" s="40" t="s">
        <v>212</v>
      </c>
    </row>
    <row r="20" spans="1:2" x14ac:dyDescent="0.25">
      <c r="A20" s="58" t="s">
        <v>216</v>
      </c>
      <c r="B20" s="40" t="s">
        <v>217</v>
      </c>
    </row>
    <row r="21" spans="1:2" x14ac:dyDescent="0.25">
      <c r="A21" s="58" t="s">
        <v>99</v>
      </c>
      <c r="B21" s="40" t="s">
        <v>97</v>
      </c>
    </row>
    <row r="22" spans="1:2" x14ac:dyDescent="0.25">
      <c r="A22" s="58" t="s">
        <v>100</v>
      </c>
      <c r="B22" s="40" t="s">
        <v>98</v>
      </c>
    </row>
    <row r="23" spans="1:2" x14ac:dyDescent="0.25">
      <c r="A23" s="58" t="s">
        <v>213</v>
      </c>
      <c r="B23" s="40" t="s">
        <v>214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2025-10-11T06:49:05Z</dcterms:modified>
</cp:coreProperties>
</file>