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47" i="5" l="1"/>
  <c r="AP47" i="5"/>
  <c r="J47" i="5"/>
  <c r="I47" i="5"/>
  <c r="BG46" i="5"/>
  <c r="AP46" i="5"/>
  <c r="J46" i="5"/>
  <c r="I46" i="5"/>
  <c r="BG45" i="5"/>
  <c r="AP45" i="5"/>
  <c r="J45" i="5"/>
  <c r="I45" i="5"/>
  <c r="BG44" i="5"/>
  <c r="AP44" i="5"/>
  <c r="J44" i="5"/>
  <c r="I44" i="5"/>
  <c r="BG43" i="5"/>
  <c r="AP43" i="5"/>
  <c r="J43" i="5"/>
  <c r="I43" i="5"/>
  <c r="BG42" i="5"/>
  <c r="AP42" i="5"/>
  <c r="J42" i="5"/>
  <c r="I42" i="5"/>
  <c r="BG41" i="5"/>
  <c r="AP41" i="5"/>
  <c r="J41" i="5"/>
  <c r="I41" i="5"/>
  <c r="BG40" i="5"/>
  <c r="AP40" i="5"/>
  <c r="J40" i="5"/>
  <c r="I40" i="5"/>
  <c r="BG39" i="5"/>
  <c r="AP39" i="5"/>
  <c r="J39" i="5"/>
  <c r="I39" i="5"/>
  <c r="BG38" i="5"/>
  <c r="AP38" i="5"/>
  <c r="J38" i="5"/>
  <c r="I38" i="5"/>
  <c r="BG37" i="5"/>
  <c r="AP37" i="5"/>
  <c r="J37" i="5"/>
  <c r="I37" i="5"/>
  <c r="BG36" i="5"/>
  <c r="AP36" i="5"/>
  <c r="J36" i="5"/>
  <c r="I36" i="5"/>
  <c r="BG35" i="5"/>
  <c r="AP35" i="5"/>
  <c r="J35" i="5"/>
  <c r="I35" i="5"/>
  <c r="BG34" i="5"/>
  <c r="AP34" i="5"/>
  <c r="J34" i="5"/>
  <c r="I34" i="5"/>
  <c r="BG33" i="5"/>
  <c r="AP33" i="5"/>
  <c r="J33" i="5"/>
  <c r="I33" i="5"/>
  <c r="BG32" i="5"/>
  <c r="AP32" i="5"/>
  <c r="J32" i="5"/>
  <c r="I32" i="5"/>
  <c r="BG31" i="5"/>
  <c r="AP31" i="5"/>
  <c r="J31" i="5"/>
  <c r="I31" i="5"/>
  <c r="BG30" i="5"/>
  <c r="AP30" i="5"/>
  <c r="J30" i="5"/>
  <c r="I30" i="5"/>
  <c r="BG29" i="5"/>
  <c r="AP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5" i="5"/>
  <c r="AP25" i="5"/>
  <c r="J25" i="5"/>
  <c r="I25" i="5"/>
  <c r="BG24" i="5"/>
  <c r="AP24" i="5"/>
  <c r="J24" i="5"/>
  <c r="I24" i="5"/>
  <c r="BG23" i="5"/>
  <c r="AP23" i="5"/>
  <c r="J23" i="5"/>
  <c r="I23" i="5"/>
  <c r="BG22" i="5"/>
  <c r="AP22" i="5"/>
  <c r="J22" i="5"/>
  <c r="I22" i="5"/>
  <c r="BG21" i="5"/>
  <c r="AP21" i="5"/>
  <c r="J21" i="5"/>
  <c r="I21" i="5"/>
  <c r="BG20" i="5"/>
  <c r="AP20" i="5"/>
  <c r="J20" i="5"/>
  <c r="I20" i="5"/>
  <c r="BG19" i="5"/>
  <c r="AP19" i="5"/>
  <c r="J19" i="5"/>
  <c r="I19" i="5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AP15" i="5"/>
  <c r="J15" i="5"/>
  <c r="I15" i="5"/>
  <c r="BG14" i="5"/>
  <c r="AP14" i="5"/>
  <c r="J14" i="5"/>
  <c r="I14" i="5"/>
  <c r="BG13" i="5"/>
  <c r="AP13" i="5"/>
  <c r="J13" i="5"/>
  <c r="I13" i="5"/>
  <c r="BG12" i="5"/>
  <c r="AP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7" i="5"/>
  <c r="AP7" i="5"/>
  <c r="J7" i="5"/>
  <c r="I7" i="5"/>
  <c r="BG6" i="5"/>
  <c r="AP6" i="5"/>
  <c r="J6" i="5"/>
  <c r="I6" i="5"/>
  <c r="BG5" i="5"/>
  <c r="AP5" i="5"/>
  <c r="J5" i="5"/>
  <c r="I5" i="5"/>
  <c r="BG4" i="5"/>
  <c r="AP4" i="5"/>
  <c r="J4" i="5"/>
  <c r="I4" i="5"/>
  <c r="BG3" i="5"/>
  <c r="AP3" i="5"/>
  <c r="J3" i="5"/>
  <c r="I3" i="5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<sst xmlns="http://schemas.openxmlformats.org/spreadsheetml/2006/main" count="1436" uniqueCount="230">
  <si>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</si>
  <si>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</si>
  <si>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</si>
  <si>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</si>
  <si>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</si>
  <si>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</si>
  <si>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</si>
  <si>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</si>
  <si>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</si>
  <si>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</si>
  <si>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</si>
  <si>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</si>
  <si>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</si>
  <si>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</si>
  <si>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</si>
  <si>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</si>
  <si>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</si>
  <si>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</si>
  <si>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</si>
  <si>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</si>
  <si>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</si>
  <si>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</si>
  <si>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</si>
  <si>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</si>
  <si>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</si>
  <si>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</si>
  <si>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</si>
  <si>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</si>
  <si>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</si>
  <si>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</si>
  <si>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</si>
  <si>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</si>
  <si>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</si>
  <si>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</si>
  <si>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</si>
  <si>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</si>
  <si>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</si>
  <si>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</si>
  <si>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</si>
  <si>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</si>
  <si>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</si>
  <si>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</si>
  <si>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</si>
  <si>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</si>
  <si>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</si>
  <si>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</si>
  <si>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</si>
  <si>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</si>
  <si>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</si>
  <si>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</si>
  <si>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</si>
  <si>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</si>
  <si>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</si>
  <si>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</si>
  <si>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</si>
  <si>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</si>
  <si>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ST</t>
  </si>
  <si>
    <t>general</t>
  </si>
  <si>
    <t>ACT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</si>
  <si>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</si>
  <si>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</si>
  <si>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</si>
  <si>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</si>
  <si>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</si>
  <si>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</si>
  <si>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</si>
  <si>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</si>
  <si>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ARCPTOC1_Op</t>
  </si>
  <si>
    <t>ARCPTOC1.Op</t>
  </si>
  <si>
    <t>61850_TypeLN</t>
  </si>
  <si>
    <t>ARCPTOC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</si>
  <si>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</si>
  <si>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</si>
  <si>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</si>
  <si>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</si>
  <si>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</si>
  <si>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</si>
  <si>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</si>
  <si>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</si>
  <si>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BOOLEAN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</si>
  <si>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</si>
  <si>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</si>
  <si>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</si>
  <si>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</si>
  <si>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</si>
  <si>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</si>
  <si>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</si>
  <si>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</si>
  <si>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Входы</t>
  </si>
  <si>
    <t>Выходы</t>
  </si>
  <si>
    <t>Общие настройки конфигурации</t>
  </si>
  <si>
    <t>Центральный процессор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</si>
  <si>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</si>
  <si>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</si>
  <si>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</si>
  <si>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</si>
  <si>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</si>
  <si>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</si>
  <si>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</si>
  <si>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</si>
  <si>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</si>
  <si>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Адрес Mibus</t>
  </si>
  <si>
    <t>Выдержка времени идентификации неисправности канала связи</t>
  </si>
  <si>
    <t>Таймаут отсутствия связи</t>
  </si>
  <si>
    <t>с</t>
  </si>
  <si>
    <t>Режим работы интерфейса Eth.1</t>
  </si>
  <si>
    <t>X1.Режим</t>
  </si>
  <si>
    <t>Режим работы интерфейса Eth.2</t>
  </si>
  <si>
    <t>X2.Режим</t>
  </si>
  <si>
    <t>Режим работы интерфейса Eth.3</t>
  </si>
  <si>
    <t>X3.Режим</t>
  </si>
  <si>
    <t>Режим работы интерфейса Eth.4</t>
  </si>
  <si>
    <t>X4.Режим</t>
  </si>
  <si>
    <t>Режим работы порта ИЧМ</t>
  </si>
  <si>
    <t>Режим</t>
  </si>
  <si>
    <t>Время отстройки от случайных помех</t>
  </si>
  <si>
    <t>Тосп</t>
  </si>
  <si>
    <t>Время фильтрации входа</t>
  </si>
  <si>
    <t>Тфильтр</t>
  </si>
  <si>
    <t>Интерфейс Eth1. Адрес IP</t>
  </si>
  <si>
    <t>X1.Адрес IP</t>
  </si>
  <si>
    <t>Интерфейс Eth1. Маска IP</t>
  </si>
  <si>
    <t>X1.Маска IP</t>
  </si>
  <si>
    <t>Интерфейс Eth1. Адрес шлюза</t>
  </si>
  <si>
    <t>X1.Адрес шлюза</t>
  </si>
  <si>
    <t>Символ</t>
  </si>
  <si>
    <t>Интерфейс Eth2. Адрес IP</t>
  </si>
  <si>
    <t>Интерфейс Eth2. Маска IP</t>
  </si>
  <si>
    <t>Интерфейс Eth2. Адрес шлюза</t>
  </si>
  <si>
    <t>X2.Адрес IP</t>
  </si>
  <si>
    <t>X2.Маска IP</t>
  </si>
  <si>
    <t>X2.Адрес шлюза</t>
  </si>
  <si>
    <t>Интерфейс Eth3. Адрес IP</t>
  </si>
  <si>
    <t>Интерфейс Eth3. Маска IP</t>
  </si>
  <si>
    <t>Интерфейс Eth3. Адрес шлюза</t>
  </si>
  <si>
    <t>X3.Адрес IP</t>
  </si>
  <si>
    <t>X3.Маска IP</t>
  </si>
  <si>
    <t>X3.Адрес шлюза</t>
  </si>
  <si>
    <t>Интерфейс Eth4. Адрес IP</t>
  </si>
  <si>
    <t>Интерфейс Eth4. Маска IP</t>
  </si>
  <si>
    <t>Интерфейс Eth4. Адрес шлюза</t>
  </si>
  <si>
    <t>X4.Адрес IP</t>
  </si>
  <si>
    <t>X4.Маска IP</t>
  </si>
  <si>
    <t>X4.Адрес шлюза</t>
  </si>
  <si>
    <t>Отказ модуля</t>
  </si>
  <si>
    <t>Отказ модуля ЦП</t>
  </si>
  <si>
    <t>Неисправность ПЗУ</t>
  </si>
  <si>
    <t>Неисправность ПЗУ ЦП</t>
  </si>
  <si>
    <t>Неисправность ПЗУ MPU</t>
  </si>
  <si>
    <t>Неисправность ПЗУ DSP1</t>
  </si>
  <si>
    <t>Неисправность ПЗУ DSP2</t>
  </si>
  <si>
    <t>Неисправность ПЗУ DSP3</t>
  </si>
  <si>
    <t>Неисправность flash</t>
  </si>
  <si>
    <t>Неисправность ОЗУ ЦП</t>
  </si>
  <si>
    <t>Неисправность ОЗУ</t>
  </si>
  <si>
    <t>Неисправность ОЗУ MPU</t>
  </si>
  <si>
    <t>Неисправность ОЗУ DSP1</t>
  </si>
  <si>
    <t>Неисправность ОЗУ DSP2</t>
  </si>
  <si>
    <t>Неисправность ОЗУ DSP3</t>
  </si>
  <si>
    <t>Неисправность ОЗУ IPU1</t>
  </si>
  <si>
    <t>Неисправность ОЗУ IPU2</t>
  </si>
  <si>
    <t>Неисправность ОЗУ IPU3</t>
  </si>
  <si>
    <t>Неисправность часов реального времени</t>
  </si>
  <si>
    <t>Неисправность часов ЦП</t>
  </si>
  <si>
    <t>Критическая ошибка I2C</t>
  </si>
  <si>
    <t>Ошибка I2C ЦП</t>
  </si>
  <si>
    <t>Ошибка контрольной суммы уставок/конфигурации</t>
  </si>
  <si>
    <t>Ошибка КС уставок</t>
  </si>
  <si>
    <t>Неисправность ПО</t>
  </si>
  <si>
    <t>Неисправность ПО ЦП</t>
  </si>
  <si>
    <t>Несовместимая версия ПО</t>
  </si>
  <si>
    <t>Несовместимая версия ПО ЦП</t>
  </si>
  <si>
    <t>Критическая ошибка SPI</t>
  </si>
  <si>
    <t>Неисправность SPI ЦП</t>
  </si>
  <si>
    <t>Конфигурация не соответствует коду заказа</t>
  </si>
  <si>
    <t>Ошибка конфигурации ЦП</t>
  </si>
  <si>
    <t>Неверно заданы уставки</t>
  </si>
  <si>
    <t>Неверные уставки</t>
  </si>
  <si>
    <t>Неисправность IPC</t>
  </si>
  <si>
    <t>Неисправность IPC для MPU-DSP1</t>
  </si>
  <si>
    <t>Неисправность IPC для DSP1-IPU1</t>
  </si>
  <si>
    <t>Неисправность IPC для MPU-IPU1</t>
  </si>
  <si>
    <t>Интерфейс RED12. Неисправность связи</t>
  </si>
  <si>
    <t>RED12.Неисправность</t>
  </si>
  <si>
    <t>Интерфейс RED34. Неисправность связи</t>
  </si>
  <si>
    <t>RED34.Неисправность</t>
  </si>
  <si>
    <t>Неисправность связи по интерфейсу Eth1</t>
  </si>
  <si>
    <t>X1.Неисправность</t>
  </si>
  <si>
    <t>Интерфейс Eth1. Переполнение буфера выходных данных</t>
  </si>
  <si>
    <t>X1.Переп.вых.буфер</t>
  </si>
  <si>
    <t>Интерфейс Eth1. Переполнение буфера входных данных</t>
  </si>
  <si>
    <t>X1.Переп.вх.буфер</t>
  </si>
  <si>
    <t>Неисправность связи по интерфейсу Eth2</t>
  </si>
  <si>
    <t>Интерфейс Eth2. Переполнение буфера выходных данных</t>
  </si>
  <si>
    <t>Интерфейс Eth2. Переполнение буфера входных данных</t>
  </si>
  <si>
    <t>X2.Неисправность</t>
  </si>
  <si>
    <t>X2.Переп.вых.буфер</t>
  </si>
  <si>
    <t>X2.Переп.вх.буфер</t>
  </si>
  <si>
    <t>Неисправность связи по интерфейсу Eth3</t>
  </si>
  <si>
    <t>Интерфейс Eth3. Переполнение буфера выходных данных</t>
  </si>
  <si>
    <t>Интерфейс Eth3. Переполнение буфера входных данных</t>
  </si>
  <si>
    <t>X3.Неисправность</t>
  </si>
  <si>
    <t>X3.Переп.вых.буфер</t>
  </si>
  <si>
    <t>X3.Переп.вх.буфер</t>
  </si>
  <si>
    <t>Неисправность связи по интерфейсу Eth4</t>
  </si>
  <si>
    <t>Интерфейс Eth4. Переполнение буфера выходных данных</t>
  </si>
  <si>
    <t>Интерфейс Eth4. Переполнение буфера входных данных</t>
  </si>
  <si>
    <t>X4.Неисправность</t>
  </si>
  <si>
    <t>X4.Переп.вых.буфер</t>
  </si>
  <si>
    <t>X4.Переп.вх.буфер</t>
  </si>
  <si>
    <t>Температура ЦП ниже допустимой</t>
  </si>
  <si>
    <t>Температура ЦП выше допустимой</t>
  </si>
  <si>
    <t>Температура ЦП выше нормы</t>
  </si>
  <si>
    <t>Температура ЦП &gt;</t>
  </si>
  <si>
    <t>Температура ЦП ниже нормы</t>
  </si>
  <si>
    <t>Температура ЦП &lt;</t>
  </si>
  <si>
    <t>Сброс встроенных часов или памяти вследствии перезагрузки</t>
  </si>
  <si>
    <t>Сброс часов</t>
  </si>
  <si>
    <t>Неисправность памяти архивов (flash-память)</t>
  </si>
  <si>
    <t>Неисправность архивов</t>
  </si>
  <si>
    <t>Программная перезагрузка</t>
  </si>
  <si>
    <t>Перезагрузка ПО</t>
  </si>
  <si>
    <t>Перезагрузка в результате потери питания</t>
  </si>
  <si>
    <t>Перезапуск по питанию</t>
  </si>
  <si>
    <t>Перезагрузка при ошибке ПО</t>
  </si>
  <si>
    <t>Перезапуск по ошибкам ПО</t>
  </si>
  <si>
    <t>Изменение уставок</t>
  </si>
  <si>
    <t>С01.a0</t>
  </si>
  <si>
    <t>Температура ЦП &lt;&lt;</t>
  </si>
  <si>
    <t>Температура ЦП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</si>
</sst>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84</v>
      </c>
      <c r="AW2" s="43" t="s">
        <v>85</v>
      </c>
      <c r="AX2" s="43" t="s">
        <v>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tabSelected="1" topLeftCell="A20" zoomScale="70" zoomScaleNormal="70" workbookViewId="0">
      <selection activeCell="F38" sqref="F3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4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84</v>
      </c>
      <c r="AW2" s="43" t="s">
        <v>85</v>
      </c>
      <c r="AX2" s="43" t="s">
        <v>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83</v>
      </c>
      <c r="C3" s="23"/>
      <c r="D3" s="30" t="s">
        <v>87</v>
      </c>
      <c r="E3" s="20" t="s">
        <v>144</v>
      </c>
      <c r="F3" s="20" t="s">
        <v>145</v>
      </c>
      <c r="G3" s="20" t="s">
        <v>145</v>
      </c>
      <c r="H3" s="9"/>
      <c r="I3" s="20">
        <f t="shared" ref="I3" si="0">LEN(F3)</f>
        <v>15</v>
      </c>
      <c r="J3" s="20" t="str">
        <f t="shared" ref="J3" si="1">IF(LEN(F3)&lt;=$J$1,F3,"")</f>
        <v>Отказ модуля ЦП</v>
      </c>
      <c r="K3" s="24" t="s">
        <v>67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 t="s">
        <v>70</v>
      </c>
      <c r="AJ3" s="26" t="s">
        <v>68</v>
      </c>
      <c r="AK3" s="26" t="s">
        <v>58</v>
      </c>
      <c r="AL3" s="26" t="s">
        <v>57</v>
      </c>
      <c r="AM3" s="26" t="s">
        <v>79</v>
      </c>
      <c r="AN3" s="26"/>
      <c r="AO3" s="26" t="s">
        <v>56</v>
      </c>
      <c r="AP3" s="26" t="str">
        <f t="shared" ref="AP3" si="2">CONCATENATE(AJ3, ".", AL3)</f>
        <v>ARCPTOC1.Op.general</v>
      </c>
      <c r="AQ3" s="26" t="s">
        <v>55</v>
      </c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 ЦП",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83</v>
      </c>
      <c r="C4" s="23"/>
      <c r="D4" s="30" t="s">
        <v>87</v>
      </c>
      <c r="E4" s="20" t="s">
        <v>146</v>
      </c>
      <c r="F4" s="20" t="s">
        <v>147</v>
      </c>
      <c r="G4" s="20" t="s">
        <v>147</v>
      </c>
      <c r="H4" s="9"/>
      <c r="I4" s="20">
        <f t="shared" ref="I4" si="4">LEN(F4)</f>
        <v>20</v>
      </c>
      <c r="J4" s="20" t="str">
        <f t="shared" ref="J4" si="5">IF(LEN(F4)&lt;=$J$1,F4,"")</f>
        <v/>
      </c>
      <c r="K4" s="24" t="s">
        <v>67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 t="s">
        <v>70</v>
      </c>
      <c r="AJ4" s="26" t="s">
        <v>68</v>
      </c>
      <c r="AK4" s="26" t="s">
        <v>58</v>
      </c>
      <c r="AL4" s="26" t="s">
        <v>57</v>
      </c>
      <c r="AM4" s="26" t="s">
        <v>79</v>
      </c>
      <c r="AN4" s="26"/>
      <c r="AO4" s="26" t="s">
        <v>56</v>
      </c>
      <c r="AP4" s="26" t="str">
        <f t="shared" ref="AP4" si="6">CONCATENATE(AJ4, ".", AL4)</f>
        <v>ARCPTOC1.Op.general</v>
      </c>
      <c r="AQ4" s="26" t="s">
        <v>55</v>
      </c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"Неисправность ПЗУ ЦП", note: "Неисправность ПЗУ",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83</v>
      </c>
      <c r="C5" s="23"/>
      <c r="D5" s="30" t="s">
        <v>87</v>
      </c>
      <c r="E5" s="20" t="s">
        <v>148</v>
      </c>
      <c r="F5" s="20" t="s">
        <v>148</v>
      </c>
      <c r="G5" s="20" t="s">
        <v>148</v>
      </c>
      <c r="H5" s="9"/>
      <c r="I5" s="20">
        <f t="shared" ref="I5" si="8">LEN(F5)</f>
        <v>21</v>
      </c>
      <c r="J5" s="20" t="str">
        <f t="shared" ref="J5" si="9">IF(LEN(F5)&lt;=$J$1,F5,"")</f>
        <v/>
      </c>
      <c r="K5" s="24" t="s">
        <v>67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 t="s">
        <v>70</v>
      </c>
      <c r="AJ5" s="26" t="s">
        <v>68</v>
      </c>
      <c r="AK5" s="26" t="s">
        <v>58</v>
      </c>
      <c r="AL5" s="26" t="s">
        <v>57</v>
      </c>
      <c r="AM5" s="26" t="s">
        <v>79</v>
      </c>
      <c r="AN5" s="26"/>
      <c r="AO5" s="26" t="s">
        <v>56</v>
      </c>
      <c r="AP5" s="26" t="str">
        <f t="shared" ref="AP5" si="10">CONCATENATE(AJ5, ".", AL5)</f>
        <v>ARCPTOC1.Op.general</v>
      </c>
      <c r="AQ5" s="26" t="s">
        <v>55</v>
      </c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ПЗУ MPU", note: "Неисправность ПЗУ MPU",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83</v>
      </c>
      <c r="C6" s="23"/>
      <c r="D6" s="30" t="s">
        <v>87</v>
      </c>
      <c r="E6" s="20" t="s">
        <v>149</v>
      </c>
      <c r="F6" s="20" t="s">
        <v>150</v>
      </c>
      <c r="G6" s="20" t="s">
        <v>151</v>
      </c>
      <c r="H6" s="9"/>
      <c r="I6" s="20">
        <f t="shared" ref="I6" si="12">LEN(F6)</f>
        <v>22</v>
      </c>
      <c r="J6" s="20" t="str">
        <f t="shared" ref="J6" si="13">IF(LEN(F6)&lt;=$J$1,F6,"")</f>
        <v/>
      </c>
      <c r="K6" s="24" t="s">
        <v>67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 t="s">
        <v>70</v>
      </c>
      <c r="AJ6" s="26" t="s">
        <v>68</v>
      </c>
      <c r="AK6" s="26" t="s">
        <v>58</v>
      </c>
      <c r="AL6" s="26" t="s">
        <v>57</v>
      </c>
      <c r="AM6" s="26" t="s">
        <v>79</v>
      </c>
      <c r="AN6" s="26"/>
      <c r="AO6" s="26" t="s">
        <v>56</v>
      </c>
      <c r="AP6" s="26" t="str">
        <f t="shared" ref="AP6" si="14">CONCATENATE(AJ6, ".", AL6)</f>
        <v>ARCPTOC1.Op.general</v>
      </c>
      <c r="AQ6" s="26" t="s">
        <v>55</v>
      </c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"Неисправность ПЗУ DSP2", note: "Неисправность ПЗУ DSP1",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83</v>
      </c>
      <c r="C7" s="23"/>
      <c r="D7" s="30" t="s">
        <v>87</v>
      </c>
      <c r="E7" s="20" t="s">
        <v>152</v>
      </c>
      <c r="F7" s="20" t="s">
        <v>152</v>
      </c>
      <c r="G7" s="20" t="s">
        <v>152</v>
      </c>
      <c r="H7" s="9"/>
      <c r="I7" s="20">
        <f t="shared" ref="I7" si="16">LEN(F7)</f>
        <v>19</v>
      </c>
      <c r="J7" s="20" t="str">
        <f t="shared" ref="J7" si="17">IF(LEN(F7)&lt;=$J$1,F7,"")</f>
        <v>Неисправность flash</v>
      </c>
      <c r="K7" s="24" t="s">
        <v>67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 t="s">
        <v>70</v>
      </c>
      <c r="AJ7" s="26" t="s">
        <v>68</v>
      </c>
      <c r="AK7" s="26" t="s">
        <v>58</v>
      </c>
      <c r="AL7" s="26" t="s">
        <v>57</v>
      </c>
      <c r="AM7" s="26" t="s">
        <v>79</v>
      </c>
      <c r="AN7" s="26"/>
      <c r="AO7" s="26" t="s">
        <v>56</v>
      </c>
      <c r="AP7" s="26" t="str">
        <f t="shared" ref="AP7" si="18">CONCATENATE(AJ7, ".", AL7)</f>
        <v>ARCPTOC1.Op.general</v>
      </c>
      <c r="AQ7" s="26" t="s">
        <v>55</v>
      </c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"Неисправность flash", note: "Неисправность flash",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83</v>
      </c>
      <c r="C8" s="23"/>
      <c r="D8" s="30" t="s">
        <v>87</v>
      </c>
      <c r="E8" s="20" t="s">
        <v>154</v>
      </c>
      <c r="F8" s="20" t="s">
        <v>153</v>
      </c>
      <c r="G8" s="20" t="s">
        <v>153</v>
      </c>
      <c r="H8" s="9"/>
      <c r="I8" s="20">
        <f t="shared" ref="I8" si="20">LEN(F8)</f>
        <v>20</v>
      </c>
      <c r="J8" s="20" t="str">
        <f t="shared" ref="J8" si="21">IF(LEN(F8)&lt;=$J$1,F8,"")</f>
        <v/>
      </c>
      <c r="K8" s="24" t="s">
        <v>67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 t="s">
        <v>70</v>
      </c>
      <c r="AJ8" s="26" t="s">
        <v>68</v>
      </c>
      <c r="AK8" s="26" t="s">
        <v>58</v>
      </c>
      <c r="AL8" s="26" t="s">
        <v>57</v>
      </c>
      <c r="AM8" s="26" t="s">
        <v>79</v>
      </c>
      <c r="AN8" s="26"/>
      <c r="AO8" s="26" t="s">
        <v>56</v>
      </c>
      <c r="AP8" s="26" t="str">
        <f t="shared" ref="AP8" si="22">CONCATENATE(AJ8, ".", AL8)</f>
        <v>ARCPTOC1.Op.general</v>
      </c>
      <c r="AQ8" s="26" t="s">
        <v>55</v>
      </c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23">CONCATENATE("description: """,F8,"""", ", ", "note: """,E8,"""",", ","group: """, B8, """",", ","minValue: ", S8,", ","maxValue: ", T8,", ","step: ", U8,", ","units: """, R8, """",", ","defaultValue: ", X8,", ","eventRegistration: ", Y8,)</f>
        <v>description: "Неисправность ОЗУ ЦП", note: "Неисправность ОЗУ",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2" t="s">
        <v>83</v>
      </c>
      <c r="C9" s="23"/>
      <c r="D9" s="30" t="s">
        <v>87</v>
      </c>
      <c r="E9" s="20" t="s">
        <v>155</v>
      </c>
      <c r="F9" s="20" t="s">
        <v>155</v>
      </c>
      <c r="G9" s="20" t="s">
        <v>155</v>
      </c>
      <c r="H9" s="9"/>
      <c r="I9" s="20">
        <f t="shared" ref="I9" si="24">LEN(F9)</f>
        <v>21</v>
      </c>
      <c r="J9" s="20" t="str">
        <f t="shared" ref="J9" si="25">IF(LEN(F9)&lt;=$J$1,F9,"")</f>
        <v/>
      </c>
      <c r="K9" s="24" t="s">
        <v>67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 t="s">
        <v>70</v>
      </c>
      <c r="AJ9" s="26" t="s">
        <v>68</v>
      </c>
      <c r="AK9" s="26" t="s">
        <v>58</v>
      </c>
      <c r="AL9" s="26" t="s">
        <v>57</v>
      </c>
      <c r="AM9" s="26" t="s">
        <v>79</v>
      </c>
      <c r="AN9" s="26"/>
      <c r="AO9" s="26" t="s">
        <v>56</v>
      </c>
      <c r="AP9" s="26" t="str">
        <f t="shared" ref="AP9" si="26">CONCATENATE(AJ9, ".", AL9)</f>
        <v>ARCPTOC1.Op.general</v>
      </c>
      <c r="AQ9" s="26" t="s">
        <v>55</v>
      </c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ref="BG9" si="27">CONCATENATE("description: """,F9,"""", ", ", "note: """,E9,"""",", ","group: """, B9, """",", ","minValue: ", S9,", ","maxValue: ", T9,", ","step: ", U9,", ","units: """, R9, """",", ","defaultValue: ", X9,", ","eventRegistration: ", Y9,)</f>
        <v>description: "Неисправность ОЗУ MPU", note: "Неисправность ОЗУ MPU", group: "status", minValue: null, maxValue: null, step: null, units: "null", defaultValue: null, eventRegistration: 2</v>
      </c>
    </row>
    <row r="10" spans="1:16379" s="27" customFormat="1" ht="15.75" x14ac:dyDescent="0.25">
      <c r="A10" s="22"/>
      <c r="B10" s="42" t="s">
        <v>83</v>
      </c>
      <c r="C10" s="23"/>
      <c r="D10" s="30" t="s">
        <v>87</v>
      </c>
      <c r="E10" s="20" t="s">
        <v>156</v>
      </c>
      <c r="F10" s="20" t="s">
        <v>157</v>
      </c>
      <c r="G10" s="20" t="s">
        <v>158</v>
      </c>
      <c r="H10" s="9"/>
      <c r="I10" s="20">
        <f t="shared" ref="I10" si="28">LEN(F10)</f>
        <v>22</v>
      </c>
      <c r="J10" s="20" t="str">
        <f t="shared" ref="J10" si="29">IF(LEN(F10)&lt;=$J$1,F10,"")</f>
        <v/>
      </c>
      <c r="K10" s="24" t="s">
        <v>67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 t="s">
        <v>70</v>
      </c>
      <c r="AJ10" s="26" t="s">
        <v>68</v>
      </c>
      <c r="AK10" s="26" t="s">
        <v>58</v>
      </c>
      <c r="AL10" s="26" t="s">
        <v>57</v>
      </c>
      <c r="AM10" s="26" t="s">
        <v>79</v>
      </c>
      <c r="AN10" s="26"/>
      <c r="AO10" s="26" t="s">
        <v>56</v>
      </c>
      <c r="AP10" s="26" t="str">
        <f t="shared" ref="AP10" si="30">CONCATENATE(AJ10, ".", AL10)</f>
        <v>ARCPTOC1.Op.general</v>
      </c>
      <c r="AQ10" s="26" t="s">
        <v>55</v>
      </c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ref="BG10" si="3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"Неисправность ОЗУ DSP2", note: "Неисправность ОЗУ DSP1",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2" t="s">
        <v>83</v>
      </c>
      <c r="C11" s="23"/>
      <c r="D11" s="30" t="s">
        <v>87</v>
      </c>
      <c r="E11" s="20" t="s">
        <v>159</v>
      </c>
      <c r="F11" s="20" t="s">
        <v>160</v>
      </c>
      <c r="G11" s="20" t="s">
        <v>161</v>
      </c>
      <c r="H11" s="9"/>
      <c r="I11" s="20">
        <f t="shared" ref="I11" si="32">LEN(F11)</f>
        <v>22</v>
      </c>
      <c r="J11" s="20" t="str">
        <f t="shared" ref="J11" si="33">IF(LEN(F11)&lt;=$J$1,F11,"")</f>
        <v/>
      </c>
      <c r="K11" s="24" t="s">
        <v>67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 t="s">
        <v>70</v>
      </c>
      <c r="AJ11" s="26" t="s">
        <v>68</v>
      </c>
      <c r="AK11" s="26" t="s">
        <v>58</v>
      </c>
      <c r="AL11" s="26" t="s">
        <v>57</v>
      </c>
      <c r="AM11" s="26" t="s">
        <v>79</v>
      </c>
      <c r="AN11" s="26"/>
      <c r="AO11" s="26" t="s">
        <v>56</v>
      </c>
      <c r="AP11" s="26" t="str">
        <f t="shared" ref="AP11" si="34">CONCATENATE(AJ11, ".", AL11)</f>
        <v>ARCPTOC1.Op.general</v>
      </c>
      <c r="AQ11" s="26" t="s">
        <v>55</v>
      </c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ref="BG11" si="3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"Неисправность ОЗУ IPU2", note: "Неисправность ОЗУ IPU1", group: "status", minValue: null, maxValue: null, step: null, units: "null", defaultValue: null, eventRegistration: 2</v>
      </c>
    </row>
    <row r="12" spans="1:16379" s="27" customFormat="1" ht="15.75" x14ac:dyDescent="0.25">
      <c r="A12" s="22"/>
      <c r="B12" s="42" t="s">
        <v>83</v>
      </c>
      <c r="C12" s="23"/>
      <c r="D12" s="30" t="s">
        <v>87</v>
      </c>
      <c r="E12" s="20" t="s">
        <v>162</v>
      </c>
      <c r="F12" s="20" t="s">
        <v>163</v>
      </c>
      <c r="G12" s="20" t="s">
        <v>163</v>
      </c>
      <c r="H12" s="9"/>
      <c r="I12" s="20">
        <f t="shared" ref="I12" si="36">LEN(F12)</f>
        <v>22</v>
      </c>
      <c r="J12" s="20" t="str">
        <f t="shared" ref="J12" si="37">IF(LEN(F12)&lt;=$J$1,F12,"")</f>
        <v/>
      </c>
      <c r="K12" s="24" t="s">
        <v>67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 t="s">
        <v>70</v>
      </c>
      <c r="AJ12" s="26" t="s">
        <v>68</v>
      </c>
      <c r="AK12" s="26" t="s">
        <v>58</v>
      </c>
      <c r="AL12" s="26" t="s">
        <v>57</v>
      </c>
      <c r="AM12" s="26" t="s">
        <v>79</v>
      </c>
      <c r="AN12" s="26"/>
      <c r="AO12" s="26" t="s">
        <v>56</v>
      </c>
      <c r="AP12" s="26" t="str">
        <f t="shared" ref="AP12" si="38">CONCATENATE(AJ12, ".", AL12)</f>
        <v>ARCPTOC1.Op.general</v>
      </c>
      <c r="AQ12" s="26" t="s">
        <v>55</v>
      </c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ref="BG12" si="3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"Неисправность часов ЦП", note: "Неисправность часов реального времени", group: "status", minValue: null, maxValue: null, step: null, units: "null", defaultValue: null, eventRegistration: 2</v>
      </c>
    </row>
    <row r="13" spans="1:16379" s="27" customFormat="1" ht="15.75" x14ac:dyDescent="0.25">
      <c r="A13" s="22"/>
      <c r="B13" s="42" t="s">
        <v>83</v>
      </c>
      <c r="C13" s="23"/>
      <c r="D13" s="30" t="s">
        <v>87</v>
      </c>
      <c r="E13" s="20" t="s">
        <v>164</v>
      </c>
      <c r="F13" s="20" t="s">
        <v>165</v>
      </c>
      <c r="G13" s="20" t="s">
        <v>165</v>
      </c>
      <c r="H13" s="9"/>
      <c r="I13" s="20">
        <f t="shared" ref="I13" si="40">LEN(F13)</f>
        <v>13</v>
      </c>
      <c r="J13" s="20" t="str">
        <f t="shared" ref="J13" si="41">IF(LEN(F13)&lt;=$J$1,F13,"")</f>
        <v>Ошибка I2C ЦП</v>
      </c>
      <c r="K13" s="24" t="s">
        <v>67</v>
      </c>
      <c r="L13" s="38" t="s">
        <v>54</v>
      </c>
      <c r="M13" s="25" t="s">
        <v>51</v>
      </c>
      <c r="N13" s="25" t="s">
        <v>52</v>
      </c>
      <c r="O13" s="25"/>
      <c r="P13" s="18"/>
      <c r="Q13" s="18"/>
      <c r="R13" s="25" t="s">
        <v>53</v>
      </c>
      <c r="S13" s="25" t="s">
        <v>53</v>
      </c>
      <c r="T13" s="25" t="s">
        <v>53</v>
      </c>
      <c r="U13" s="25" t="s">
        <v>53</v>
      </c>
      <c r="V13" s="23"/>
      <c r="W13" s="23"/>
      <c r="X13" s="25" t="s">
        <v>53</v>
      </c>
      <c r="Y13" s="25">
        <v>2</v>
      </c>
      <c r="Z13" s="23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37" t="s">
        <v>70</v>
      </c>
      <c r="AJ13" s="26" t="s">
        <v>68</v>
      </c>
      <c r="AK13" s="26" t="s">
        <v>58</v>
      </c>
      <c r="AL13" s="26" t="s">
        <v>57</v>
      </c>
      <c r="AM13" s="26" t="s">
        <v>79</v>
      </c>
      <c r="AN13" s="26"/>
      <c r="AO13" s="26" t="s">
        <v>56</v>
      </c>
      <c r="AP13" s="26" t="str">
        <f t="shared" ref="AP13" si="42">CONCATENATE(AJ13, ".", AL13)</f>
        <v>ARCPTOC1.Op.general</v>
      </c>
      <c r="AQ13" s="26" t="s">
        <v>55</v>
      </c>
      <c r="AR13" s="23">
        <v>0</v>
      </c>
      <c r="AS13" s="23">
        <v>1</v>
      </c>
      <c r="AT13" s="23">
        <v>0</v>
      </c>
      <c r="AU13" s="23">
        <v>1</v>
      </c>
      <c r="AV13" s="23">
        <v>1</v>
      </c>
      <c r="AW13" s="23">
        <v>1</v>
      </c>
      <c r="AX13" s="23">
        <v>1</v>
      </c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" si="4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"Ошибка I2C ЦП", note: "Критическая ошибка I2C", group: "status", minValue: null, maxValue: null, step: null, units: "null", defaultValue: null, eventRegistration: 2</v>
      </c>
    </row>
    <row r="14" spans="1:16379" s="27" customFormat="1" ht="15.75" x14ac:dyDescent="0.25">
      <c r="A14" s="22"/>
      <c r="B14" s="42" t="s">
        <v>83</v>
      </c>
      <c r="C14" s="23"/>
      <c r="D14" s="30" t="s">
        <v>87</v>
      </c>
      <c r="E14" s="20" t="s">
        <v>166</v>
      </c>
      <c r="F14" s="20" t="s">
        <v>167</v>
      </c>
      <c r="G14" s="20" t="s">
        <v>167</v>
      </c>
      <c r="H14" s="9"/>
      <c r="I14" s="20">
        <f t="shared" ref="I14" si="44">LEN(F14)</f>
        <v>17</v>
      </c>
      <c r="J14" s="20" t="str">
        <f t="shared" ref="J14" si="45">IF(LEN(F14)&lt;=$J$1,F14,"")</f>
        <v>Ошибка КС уставок</v>
      </c>
      <c r="K14" s="24" t="s">
        <v>67</v>
      </c>
      <c r="L14" s="38" t="s">
        <v>54</v>
      </c>
      <c r="M14" s="25" t="s">
        <v>51</v>
      </c>
      <c r="N14" s="25" t="s">
        <v>52</v>
      </c>
      <c r="O14" s="25"/>
      <c r="P14" s="18"/>
      <c r="Q14" s="18"/>
      <c r="R14" s="25" t="s">
        <v>53</v>
      </c>
      <c r="S14" s="25" t="s">
        <v>53</v>
      </c>
      <c r="T14" s="25" t="s">
        <v>53</v>
      </c>
      <c r="U14" s="25" t="s">
        <v>53</v>
      </c>
      <c r="V14" s="23"/>
      <c r="W14" s="23"/>
      <c r="X14" s="25" t="s">
        <v>53</v>
      </c>
      <c r="Y14" s="25">
        <v>2</v>
      </c>
      <c r="Z14" s="23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37" t="s">
        <v>70</v>
      </c>
      <c r="AJ14" s="26" t="s">
        <v>68</v>
      </c>
      <c r="AK14" s="26" t="s">
        <v>58</v>
      </c>
      <c r="AL14" s="26" t="s">
        <v>57</v>
      </c>
      <c r="AM14" s="26" t="s">
        <v>79</v>
      </c>
      <c r="AN14" s="26"/>
      <c r="AO14" s="26" t="s">
        <v>56</v>
      </c>
      <c r="AP14" s="26" t="str">
        <f t="shared" ref="AP14" si="46">CONCATENATE(AJ14, ".", AL14)</f>
        <v>ARCPTOC1.Op.general</v>
      </c>
      <c r="AQ14" s="26" t="s">
        <v>55</v>
      </c>
      <c r="AR14" s="23">
        <v>0</v>
      </c>
      <c r="AS14" s="23">
        <v>1</v>
      </c>
      <c r="AT14" s="23">
        <v>0</v>
      </c>
      <c r="AU14" s="23">
        <v>1</v>
      </c>
      <c r="AV14" s="23">
        <v>1</v>
      </c>
      <c r="AW14" s="23">
        <v>1</v>
      </c>
      <c r="AX14" s="23">
        <v>1</v>
      </c>
      <c r="AY14" s="35"/>
      <c r="AZ14" s="23"/>
      <c r="BA14" s="23"/>
      <c r="BB14" s="23"/>
      <c r="BC14" s="23"/>
      <c r="BD14" s="23"/>
      <c r="BE14" s="23"/>
      <c r="BF14" s="23"/>
      <c r="BG14" s="21" t="str">
        <f t="shared" ref="BG14" si="4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"Ошибка КС уставок", note: "Ошибка контрольной суммы уставок/конфигурации", group: "status", minValue: null, maxValue: null, step: null, units: "null", defaultValue: null, eventRegistration: 2</v>
      </c>
    </row>
    <row r="15" spans="1:16379" s="27" customFormat="1" ht="15.75" x14ac:dyDescent="0.25">
      <c r="A15" s="22"/>
      <c r="B15" s="42" t="s">
        <v>83</v>
      </c>
      <c r="C15" s="23"/>
      <c r="D15" s="30" t="s">
        <v>87</v>
      </c>
      <c r="E15" s="20" t="s">
        <v>168</v>
      </c>
      <c r="F15" s="20" t="s">
        <v>169</v>
      </c>
      <c r="G15" s="20" t="s">
        <v>169</v>
      </c>
      <c r="H15" s="9"/>
      <c r="I15" s="20">
        <f t="shared" ref="I15" si="48">LEN(F15)</f>
        <v>19</v>
      </c>
      <c r="J15" s="20" t="str">
        <f t="shared" ref="J15" si="49">IF(LEN(F15)&lt;=$J$1,F15,"")</f>
        <v>Неисправность ПО ЦП</v>
      </c>
      <c r="K15" s="24" t="s">
        <v>67</v>
      </c>
      <c r="L15" s="38" t="s">
        <v>54</v>
      </c>
      <c r="M15" s="25" t="s">
        <v>51</v>
      </c>
      <c r="N15" s="25" t="s">
        <v>52</v>
      </c>
      <c r="O15" s="25"/>
      <c r="P15" s="18"/>
      <c r="Q15" s="18"/>
      <c r="R15" s="25" t="s">
        <v>53</v>
      </c>
      <c r="S15" s="25" t="s">
        <v>53</v>
      </c>
      <c r="T15" s="25" t="s">
        <v>53</v>
      </c>
      <c r="U15" s="25" t="s">
        <v>53</v>
      </c>
      <c r="V15" s="23"/>
      <c r="W15" s="23"/>
      <c r="X15" s="25" t="s">
        <v>53</v>
      </c>
      <c r="Y15" s="25">
        <v>2</v>
      </c>
      <c r="Z15" s="23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37" t="s">
        <v>70</v>
      </c>
      <c r="AJ15" s="26" t="s">
        <v>68</v>
      </c>
      <c r="AK15" s="26" t="s">
        <v>58</v>
      </c>
      <c r="AL15" s="26" t="s">
        <v>57</v>
      </c>
      <c r="AM15" s="26" t="s">
        <v>79</v>
      </c>
      <c r="AN15" s="26"/>
      <c r="AO15" s="26" t="s">
        <v>56</v>
      </c>
      <c r="AP15" s="26" t="str">
        <f t="shared" ref="AP15" si="50">CONCATENATE(AJ15, ".", AL15)</f>
        <v>ARCPTOC1.Op.general</v>
      </c>
      <c r="AQ15" s="26" t="s">
        <v>55</v>
      </c>
      <c r="AR15" s="23">
        <v>0</v>
      </c>
      <c r="AS15" s="23">
        <v>1</v>
      </c>
      <c r="AT15" s="23">
        <v>0</v>
      </c>
      <c r="AU15" s="23">
        <v>1</v>
      </c>
      <c r="AV15" s="23">
        <v>1</v>
      </c>
      <c r="AW15" s="23">
        <v>1</v>
      </c>
      <c r="AX15" s="23">
        <v>1</v>
      </c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" si="5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 ПО ЦП", note: "Неисправность ПО", group: "status", minValue: null, maxValue: null, step: null, units: "null", defaultValue: null, eventRegistration: 2</v>
      </c>
    </row>
    <row r="16" spans="1:16379" s="27" customFormat="1" ht="15.75" x14ac:dyDescent="0.25">
      <c r="A16" s="22"/>
      <c r="B16" s="42" t="s">
        <v>83</v>
      </c>
      <c r="C16" s="23"/>
      <c r="D16" s="30" t="s">
        <v>87</v>
      </c>
      <c r="E16" s="20" t="s">
        <v>170</v>
      </c>
      <c r="F16" s="20" t="s">
        <v>171</v>
      </c>
      <c r="G16" s="20" t="s">
        <v>171</v>
      </c>
      <c r="H16" s="9"/>
      <c r="I16" s="20">
        <f t="shared" ref="I16" si="52">LEN(F16)</f>
        <v>26</v>
      </c>
      <c r="J16" s="20" t="str">
        <f t="shared" ref="J16" si="53">IF(LEN(F16)&lt;=$J$1,F16,"")</f>
        <v/>
      </c>
      <c r="K16" s="24" t="s">
        <v>67</v>
      </c>
      <c r="L16" s="38" t="s">
        <v>54</v>
      </c>
      <c r="M16" s="25" t="s">
        <v>51</v>
      </c>
      <c r="N16" s="25" t="s">
        <v>52</v>
      </c>
      <c r="O16" s="25"/>
      <c r="P16" s="18"/>
      <c r="Q16" s="18"/>
      <c r="R16" s="25" t="s">
        <v>53</v>
      </c>
      <c r="S16" s="25" t="s">
        <v>53</v>
      </c>
      <c r="T16" s="25" t="s">
        <v>53</v>
      </c>
      <c r="U16" s="25" t="s">
        <v>53</v>
      </c>
      <c r="V16" s="23"/>
      <c r="W16" s="23"/>
      <c r="X16" s="25" t="s">
        <v>53</v>
      </c>
      <c r="Y16" s="25">
        <v>2</v>
      </c>
      <c r="Z16" s="23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37" t="s">
        <v>70</v>
      </c>
      <c r="AJ16" s="26" t="s">
        <v>68</v>
      </c>
      <c r="AK16" s="26" t="s">
        <v>58</v>
      </c>
      <c r="AL16" s="26" t="s">
        <v>57</v>
      </c>
      <c r="AM16" s="26" t="s">
        <v>79</v>
      </c>
      <c r="AN16" s="26"/>
      <c r="AO16" s="26" t="s">
        <v>56</v>
      </c>
      <c r="AP16" s="26" t="str">
        <f t="shared" ref="AP16" si="54">CONCATENATE(AJ16, ".", AL16)</f>
        <v>ARCPTOC1.Op.general</v>
      </c>
      <c r="AQ16" s="26" t="s">
        <v>55</v>
      </c>
      <c r="AR16" s="23">
        <v>0</v>
      </c>
      <c r="AS16" s="23">
        <v>1</v>
      </c>
      <c r="AT16" s="23">
        <v>0</v>
      </c>
      <c r="AU16" s="23">
        <v>1</v>
      </c>
      <c r="AV16" s="23">
        <v>1</v>
      </c>
      <c r="AW16" s="23">
        <v>1</v>
      </c>
      <c r="AX16" s="23">
        <v>1</v>
      </c>
      <c r="AY16" s="35"/>
      <c r="AZ16" s="23"/>
      <c r="BA16" s="23"/>
      <c r="BB16" s="23"/>
      <c r="BC16" s="23"/>
      <c r="BD16" s="23"/>
      <c r="BE16" s="23"/>
      <c r="BF16" s="23"/>
      <c r="BG16" s="21" t="str">
        <f t="shared" ref="BG16" si="5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"Несовместимая версия ПО ЦП", note: "Несовместимая версия ПО", group: "status", minValue: null, maxValue: null, step: null, units: "null", defaultValue: null, eventRegistration: 2</v>
      </c>
    </row>
    <row r="17" spans="1:59" s="27" customFormat="1" ht="15.75" x14ac:dyDescent="0.25">
      <c r="A17" s="22"/>
      <c r="B17" s="42" t="s">
        <v>83</v>
      </c>
      <c r="C17" s="23"/>
      <c r="D17" s="30" t="s">
        <v>87</v>
      </c>
      <c r="E17" s="20" t="s">
        <v>172</v>
      </c>
      <c r="F17" s="20" t="s">
        <v>173</v>
      </c>
      <c r="G17" s="20" t="s">
        <v>173</v>
      </c>
      <c r="H17" s="9"/>
      <c r="I17" s="20">
        <f t="shared" ref="I17" si="56">LEN(F17)</f>
        <v>20</v>
      </c>
      <c r="J17" s="20" t="str">
        <f t="shared" ref="J17" si="57">IF(LEN(F17)&lt;=$J$1,F17,"")</f>
        <v/>
      </c>
      <c r="K17" s="24" t="s">
        <v>67</v>
      </c>
      <c r="L17" s="38" t="s">
        <v>54</v>
      </c>
      <c r="M17" s="25" t="s">
        <v>51</v>
      </c>
      <c r="N17" s="25" t="s">
        <v>52</v>
      </c>
      <c r="O17" s="25"/>
      <c r="P17" s="18"/>
      <c r="Q17" s="18"/>
      <c r="R17" s="25" t="s">
        <v>53</v>
      </c>
      <c r="S17" s="25" t="s">
        <v>53</v>
      </c>
      <c r="T17" s="25" t="s">
        <v>53</v>
      </c>
      <c r="U17" s="25" t="s">
        <v>53</v>
      </c>
      <c r="V17" s="23"/>
      <c r="W17" s="23"/>
      <c r="X17" s="25" t="s">
        <v>53</v>
      </c>
      <c r="Y17" s="25">
        <v>2</v>
      </c>
      <c r="Z17" s="23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37" t="s">
        <v>70</v>
      </c>
      <c r="AJ17" s="26" t="s">
        <v>68</v>
      </c>
      <c r="AK17" s="26" t="s">
        <v>58</v>
      </c>
      <c r="AL17" s="26" t="s">
        <v>57</v>
      </c>
      <c r="AM17" s="26" t="s">
        <v>79</v>
      </c>
      <c r="AN17" s="26"/>
      <c r="AO17" s="26" t="s">
        <v>56</v>
      </c>
      <c r="AP17" s="26" t="str">
        <f t="shared" ref="AP17" si="58">CONCATENATE(AJ17, ".", AL17)</f>
        <v>ARCPTOC1.Op.general</v>
      </c>
      <c r="AQ17" s="26" t="s">
        <v>55</v>
      </c>
      <c r="AR17" s="23">
        <v>0</v>
      </c>
      <c r="AS17" s="23">
        <v>1</v>
      </c>
      <c r="AT17" s="23">
        <v>0</v>
      </c>
      <c r="AU17" s="23">
        <v>1</v>
      </c>
      <c r="AV17" s="23">
        <v>1</v>
      </c>
      <c r="AW17" s="23">
        <v>1</v>
      </c>
      <c r="AX17" s="23">
        <v>1</v>
      </c>
      <c r="AY17" s="35"/>
      <c r="AZ17" s="23"/>
      <c r="BA17" s="23"/>
      <c r="BB17" s="23"/>
      <c r="BC17" s="23"/>
      <c r="BD17" s="23"/>
      <c r="BE17" s="23"/>
      <c r="BF17" s="23"/>
      <c r="BG17" s="21" t="str">
        <f t="shared" ref="BG17" si="5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"Неисправность SPI ЦП", note: "Критическая ошибка SPI", group: "status", minValue: null, maxValue: null, step: null, units: "null", defaultValue: null, eventRegistration: 2</v>
      </c>
    </row>
    <row r="18" spans="1:59" s="27" customFormat="1" ht="15.75" x14ac:dyDescent="0.25">
      <c r="A18" s="22"/>
      <c r="B18" s="42" t="s">
        <v>83</v>
      </c>
      <c r="C18" s="23"/>
      <c r="D18" s="30" t="s">
        <v>87</v>
      </c>
      <c r="E18" s="20" t="s">
        <v>174</v>
      </c>
      <c r="F18" s="20" t="s">
        <v>175</v>
      </c>
      <c r="G18" s="20" t="s">
        <v>175</v>
      </c>
      <c r="H18" s="9"/>
      <c r="I18" s="20">
        <f t="shared" ref="I18" si="60">LEN(F18)</f>
        <v>22</v>
      </c>
      <c r="J18" s="20" t="str">
        <f t="shared" ref="J18" si="61">IF(LEN(F18)&lt;=$J$1,F18,"")</f>
        <v/>
      </c>
      <c r="K18" s="24" t="s">
        <v>67</v>
      </c>
      <c r="L18" s="38" t="s">
        <v>54</v>
      </c>
      <c r="M18" s="25" t="s">
        <v>51</v>
      </c>
      <c r="N18" s="25" t="s">
        <v>52</v>
      </c>
      <c r="O18" s="25"/>
      <c r="P18" s="18"/>
      <c r="Q18" s="18"/>
      <c r="R18" s="25" t="s">
        <v>53</v>
      </c>
      <c r="S18" s="25" t="s">
        <v>53</v>
      </c>
      <c r="T18" s="25" t="s">
        <v>53</v>
      </c>
      <c r="U18" s="25" t="s">
        <v>53</v>
      </c>
      <c r="V18" s="23"/>
      <c r="W18" s="23"/>
      <c r="X18" s="25" t="s">
        <v>53</v>
      </c>
      <c r="Y18" s="25">
        <v>2</v>
      </c>
      <c r="Z18" s="23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37" t="s">
        <v>70</v>
      </c>
      <c r="AJ18" s="26" t="s">
        <v>68</v>
      </c>
      <c r="AK18" s="26" t="s">
        <v>58</v>
      </c>
      <c r="AL18" s="26" t="s">
        <v>57</v>
      </c>
      <c r="AM18" s="26" t="s">
        <v>79</v>
      </c>
      <c r="AN18" s="26"/>
      <c r="AO18" s="26" t="s">
        <v>56</v>
      </c>
      <c r="AP18" s="26" t="str">
        <f t="shared" ref="AP18" si="62">CONCATENATE(AJ18, ".", AL18)</f>
        <v>ARCPTOC1.Op.general</v>
      </c>
      <c r="AQ18" s="26" t="s">
        <v>55</v>
      </c>
      <c r="AR18" s="23">
        <v>0</v>
      </c>
      <c r="AS18" s="23">
        <v>1</v>
      </c>
      <c r="AT18" s="23">
        <v>0</v>
      </c>
      <c r="AU18" s="23">
        <v>1</v>
      </c>
      <c r="AV18" s="23">
        <v>1</v>
      </c>
      <c r="AW18" s="23">
        <v>1</v>
      </c>
      <c r="AX18" s="23">
        <v>1</v>
      </c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" si="6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"Ошибка конфигурации ЦП", note: "Конфигурация не соответствует коду заказа", group: "status", minValue: null, maxValue: null, step: null, units: "null", defaultValue: null, eventRegistration: 2</v>
      </c>
    </row>
    <row r="19" spans="1:59" s="27" customFormat="1" ht="15.75" x14ac:dyDescent="0.25">
      <c r="A19" s="22"/>
      <c r="B19" s="42" t="s">
        <v>83</v>
      </c>
      <c r="C19" s="23"/>
      <c r="D19" s="30" t="s">
        <v>87</v>
      </c>
      <c r="E19" s="20" t="s">
        <v>176</v>
      </c>
      <c r="F19" s="20" t="s">
        <v>177</v>
      </c>
      <c r="G19" s="20" t="s">
        <v>177</v>
      </c>
      <c r="H19" s="9"/>
      <c r="I19" s="20">
        <f t="shared" ref="I19" si="64">LEN(F19)</f>
        <v>16</v>
      </c>
      <c r="J19" s="20" t="str">
        <f t="shared" ref="J19" si="65">IF(LEN(F19)&lt;=$J$1,F19,"")</f>
        <v>Неверные уставки</v>
      </c>
      <c r="K19" s="24" t="s">
        <v>67</v>
      </c>
      <c r="L19" s="38" t="s">
        <v>54</v>
      </c>
      <c r="M19" s="25" t="s">
        <v>51</v>
      </c>
      <c r="N19" s="25" t="s">
        <v>52</v>
      </c>
      <c r="O19" s="25"/>
      <c r="P19" s="18"/>
      <c r="Q19" s="18"/>
      <c r="R19" s="25" t="s">
        <v>53</v>
      </c>
      <c r="S19" s="25" t="s">
        <v>53</v>
      </c>
      <c r="T19" s="25" t="s">
        <v>53</v>
      </c>
      <c r="U19" s="25" t="s">
        <v>53</v>
      </c>
      <c r="V19" s="23"/>
      <c r="W19" s="23"/>
      <c r="X19" s="25" t="s">
        <v>53</v>
      </c>
      <c r="Y19" s="25">
        <v>2</v>
      </c>
      <c r="Z19" s="23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37" t="s">
        <v>70</v>
      </c>
      <c r="AJ19" s="26" t="s">
        <v>68</v>
      </c>
      <c r="AK19" s="26" t="s">
        <v>58</v>
      </c>
      <c r="AL19" s="26" t="s">
        <v>57</v>
      </c>
      <c r="AM19" s="26" t="s">
        <v>79</v>
      </c>
      <c r="AN19" s="26"/>
      <c r="AO19" s="26" t="s">
        <v>56</v>
      </c>
      <c r="AP19" s="26" t="str">
        <f t="shared" ref="AP19" si="66">CONCATENATE(AJ19, ".", AL19)</f>
        <v>ARCPTOC1.Op.general</v>
      </c>
      <c r="AQ19" s="26" t="s">
        <v>55</v>
      </c>
      <c r="AR19" s="23">
        <v>0</v>
      </c>
      <c r="AS19" s="23">
        <v>1</v>
      </c>
      <c r="AT19" s="23">
        <v>0</v>
      </c>
      <c r="AU19" s="23">
        <v>1</v>
      </c>
      <c r="AV19" s="23">
        <v>1</v>
      </c>
      <c r="AW19" s="23">
        <v>1</v>
      </c>
      <c r="AX19" s="23">
        <v>1</v>
      </c>
      <c r="AY19" s="35"/>
      <c r="AZ19" s="23"/>
      <c r="BA19" s="23"/>
      <c r="BB19" s="23"/>
      <c r="BC19" s="23"/>
      <c r="BD19" s="23"/>
      <c r="BE19" s="23"/>
      <c r="BF19" s="23"/>
      <c r="BG19" s="21" t="str">
        <f t="shared" ref="BG19" si="67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"Неверные уставки", note: "Неверно заданы уставки", group: "status", minValue: null, maxValue: null, step: null, units: "null", defaultValue: null, eventRegistration: 2</v>
      </c>
    </row>
    <row r="20" spans="1:59" s="27" customFormat="1" ht="15.75" x14ac:dyDescent="0.25">
      <c r="A20" s="22"/>
      <c r="B20" s="42" t="s">
        <v>83</v>
      </c>
      <c r="C20" s="23"/>
      <c r="D20" s="30" t="s">
        <v>87</v>
      </c>
      <c r="E20" s="20" t="s">
        <v>178</v>
      </c>
      <c r="F20" s="20" t="s">
        <v>178</v>
      </c>
      <c r="G20" s="20" t="s">
        <v>178</v>
      </c>
      <c r="H20" s="9"/>
      <c r="I20" s="20">
        <f t="shared" ref="I20" si="68">LEN(F20)</f>
        <v>17</v>
      </c>
      <c r="J20" s="20" t="str">
        <f t="shared" ref="J20" si="69">IF(LEN(F20)&lt;=$J$1,F20,"")</f>
        <v>Неисправность IPC</v>
      </c>
      <c r="K20" s="24" t="s">
        <v>67</v>
      </c>
      <c r="L20" s="38" t="s">
        <v>54</v>
      </c>
      <c r="M20" s="25" t="s">
        <v>51</v>
      </c>
      <c r="N20" s="25" t="s">
        <v>52</v>
      </c>
      <c r="O20" s="25"/>
      <c r="P20" s="18"/>
      <c r="Q20" s="18"/>
      <c r="R20" s="25" t="s">
        <v>53</v>
      </c>
      <c r="S20" s="25" t="s">
        <v>53</v>
      </c>
      <c r="T20" s="25" t="s">
        <v>53</v>
      </c>
      <c r="U20" s="25" t="s">
        <v>53</v>
      </c>
      <c r="V20" s="23"/>
      <c r="W20" s="23"/>
      <c r="X20" s="25" t="s">
        <v>53</v>
      </c>
      <c r="Y20" s="25">
        <v>2</v>
      </c>
      <c r="Z20" s="23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37" t="s">
        <v>70</v>
      </c>
      <c r="AJ20" s="26" t="s">
        <v>68</v>
      </c>
      <c r="AK20" s="26" t="s">
        <v>58</v>
      </c>
      <c r="AL20" s="26" t="s">
        <v>57</v>
      </c>
      <c r="AM20" s="26" t="s">
        <v>79</v>
      </c>
      <c r="AN20" s="26"/>
      <c r="AO20" s="26" t="s">
        <v>56</v>
      </c>
      <c r="AP20" s="26" t="str">
        <f t="shared" ref="AP20" si="70">CONCATENATE(AJ20, ".", AL20)</f>
        <v>ARCPTOC1.Op.general</v>
      </c>
      <c r="AQ20" s="26" t="s">
        <v>55</v>
      </c>
      <c r="AR20" s="23">
        <v>0</v>
      </c>
      <c r="AS20" s="23">
        <v>1</v>
      </c>
      <c r="AT20" s="23">
        <v>0</v>
      </c>
      <c r="AU20" s="23">
        <v>1</v>
      </c>
      <c r="AV20" s="23">
        <v>1</v>
      </c>
      <c r="AW20" s="23">
        <v>1</v>
      </c>
      <c r="AX20" s="23">
        <v>1</v>
      </c>
      <c r="AY20" s="35"/>
      <c r="AZ20" s="23"/>
      <c r="BA20" s="23"/>
      <c r="BB20" s="23"/>
      <c r="BC20" s="23"/>
      <c r="BD20" s="23"/>
      <c r="BE20" s="23"/>
      <c r="BF20" s="23"/>
      <c r="BG20" s="21" t="str">
        <f t="shared" ref="BG20" si="71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"Неисправность IPC", note: "Неисправность IPC", group: "status", minValue: null, maxValue: null, step: null, units: "null", defaultValue: null, eventRegistration: 2</v>
      </c>
    </row>
    <row r="21" spans="1:59" s="27" customFormat="1" ht="15.75" x14ac:dyDescent="0.25">
      <c r="A21" s="22"/>
      <c r="B21" s="42" t="s">
        <v>83</v>
      </c>
      <c r="C21" s="23"/>
      <c r="D21" s="30" t="s">
        <v>87</v>
      </c>
      <c r="E21" s="20" t="s">
        <v>179</v>
      </c>
      <c r="F21" s="20" t="s">
        <v>179</v>
      </c>
      <c r="G21" s="20" t="s">
        <v>179</v>
      </c>
      <c r="H21" s="9"/>
      <c r="I21" s="20">
        <f t="shared" ref="I21" si="72">LEN(F21)</f>
        <v>30</v>
      </c>
      <c r="J21" s="20" t="str">
        <f t="shared" ref="J21" si="73">IF(LEN(F21)&lt;=$J$1,F21,"")</f>
        <v/>
      </c>
      <c r="K21" s="24" t="s">
        <v>67</v>
      </c>
      <c r="L21" s="38" t="s">
        <v>54</v>
      </c>
      <c r="M21" s="25" t="s">
        <v>51</v>
      </c>
      <c r="N21" s="25" t="s">
        <v>52</v>
      </c>
      <c r="O21" s="25"/>
      <c r="P21" s="18"/>
      <c r="Q21" s="18"/>
      <c r="R21" s="25" t="s">
        <v>53</v>
      </c>
      <c r="S21" s="25" t="s">
        <v>53</v>
      </c>
      <c r="T21" s="25" t="s">
        <v>53</v>
      </c>
      <c r="U21" s="25" t="s">
        <v>53</v>
      </c>
      <c r="V21" s="23"/>
      <c r="W21" s="23"/>
      <c r="X21" s="25" t="s">
        <v>53</v>
      </c>
      <c r="Y21" s="25">
        <v>2</v>
      </c>
      <c r="Z21" s="23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37" t="s">
        <v>70</v>
      </c>
      <c r="AJ21" s="26" t="s">
        <v>68</v>
      </c>
      <c r="AK21" s="26" t="s">
        <v>58</v>
      </c>
      <c r="AL21" s="26" t="s">
        <v>57</v>
      </c>
      <c r="AM21" s="26" t="s">
        <v>79</v>
      </c>
      <c r="AN21" s="26"/>
      <c r="AO21" s="26" t="s">
        <v>56</v>
      </c>
      <c r="AP21" s="26" t="str">
        <f t="shared" ref="AP21" si="74">CONCATENATE(AJ21, ".", AL21)</f>
        <v>ARCPTOC1.Op.general</v>
      </c>
      <c r="AQ21" s="26" t="s">
        <v>55</v>
      </c>
      <c r="AR21" s="23">
        <v>0</v>
      </c>
      <c r="AS21" s="23">
        <v>1</v>
      </c>
      <c r="AT21" s="23">
        <v>0</v>
      </c>
      <c r="AU21" s="23">
        <v>1</v>
      </c>
      <c r="AV21" s="23">
        <v>1</v>
      </c>
      <c r="AW21" s="23">
        <v>1</v>
      </c>
      <c r="AX21" s="23">
        <v>1</v>
      </c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" si="7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"Неисправность IPC для MPU-DSP1", note: "Неисправность IPC для MPU-DSP1", group: "status", minValue: null, maxValue: null, step: null, units: "null", defaultValue: null, eventRegistration: 2</v>
      </c>
    </row>
    <row r="22" spans="1:59" s="27" customFormat="1" ht="15.75" x14ac:dyDescent="0.25">
      <c r="A22" s="22"/>
      <c r="B22" s="42" t="s">
        <v>83</v>
      </c>
      <c r="C22" s="23"/>
      <c r="D22" s="30" t="s">
        <v>87</v>
      </c>
      <c r="E22" s="20" t="s">
        <v>180</v>
      </c>
      <c r="F22" s="20" t="s">
        <v>180</v>
      </c>
      <c r="G22" s="20" t="s">
        <v>180</v>
      </c>
      <c r="H22" s="9"/>
      <c r="I22" s="20">
        <f t="shared" ref="I22" si="76">LEN(F22)</f>
        <v>31</v>
      </c>
      <c r="J22" s="20" t="str">
        <f t="shared" ref="J22" si="77">IF(LEN(F22)&lt;=$J$1,F22,"")</f>
        <v/>
      </c>
      <c r="K22" s="24" t="s">
        <v>67</v>
      </c>
      <c r="L22" s="38" t="s">
        <v>54</v>
      </c>
      <c r="M22" s="25" t="s">
        <v>51</v>
      </c>
      <c r="N22" s="25" t="s">
        <v>52</v>
      </c>
      <c r="O22" s="25"/>
      <c r="P22" s="18"/>
      <c r="Q22" s="18"/>
      <c r="R22" s="25" t="s">
        <v>53</v>
      </c>
      <c r="S22" s="25" t="s">
        <v>53</v>
      </c>
      <c r="T22" s="25" t="s">
        <v>53</v>
      </c>
      <c r="U22" s="25" t="s">
        <v>53</v>
      </c>
      <c r="V22" s="23"/>
      <c r="W22" s="23"/>
      <c r="X22" s="25" t="s">
        <v>53</v>
      </c>
      <c r="Y22" s="25">
        <v>2</v>
      </c>
      <c r="Z22" s="23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37" t="s">
        <v>70</v>
      </c>
      <c r="AJ22" s="26" t="s">
        <v>68</v>
      </c>
      <c r="AK22" s="26" t="s">
        <v>58</v>
      </c>
      <c r="AL22" s="26" t="s">
        <v>57</v>
      </c>
      <c r="AM22" s="26" t="s">
        <v>79</v>
      </c>
      <c r="AN22" s="26"/>
      <c r="AO22" s="26" t="s">
        <v>56</v>
      </c>
      <c r="AP22" s="26" t="str">
        <f t="shared" ref="AP22" si="78">CONCATENATE(AJ22, ".", AL22)</f>
        <v>ARCPTOC1.Op.general</v>
      </c>
      <c r="AQ22" s="26" t="s">
        <v>55</v>
      </c>
      <c r="AR22" s="23">
        <v>0</v>
      </c>
      <c r="AS22" s="23">
        <v>1</v>
      </c>
      <c r="AT22" s="23">
        <v>0</v>
      </c>
      <c r="AU22" s="23">
        <v>1</v>
      </c>
      <c r="AV22" s="23">
        <v>1</v>
      </c>
      <c r="AW22" s="23">
        <v>1</v>
      </c>
      <c r="AX22" s="23">
        <v>1</v>
      </c>
      <c r="AY22" s="35"/>
      <c r="AZ22" s="23"/>
      <c r="BA22" s="23"/>
      <c r="BB22" s="23"/>
      <c r="BC22" s="23"/>
      <c r="BD22" s="23"/>
      <c r="BE22" s="23"/>
      <c r="BF22" s="23"/>
      <c r="BG22" s="21" t="str">
        <f t="shared" ref="BG22" si="7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"Неисправность IPC для DSP1-IPU1", note: "Неисправность IPC для DSP1-IPU1", group: "status", minValue: null, maxValue: null, step: null, units: "null", defaultValue: null, eventRegistration: 2</v>
      </c>
    </row>
    <row r="23" spans="1:59" s="27" customFormat="1" ht="15.75" x14ac:dyDescent="0.25">
      <c r="A23" s="22"/>
      <c r="B23" s="42" t="s">
        <v>83</v>
      </c>
      <c r="C23" s="23"/>
      <c r="D23" s="30" t="s">
        <v>87</v>
      </c>
      <c r="E23" s="20" t="s">
        <v>181</v>
      </c>
      <c r="F23" s="20" t="s">
        <v>181</v>
      </c>
      <c r="G23" s="20" t="s">
        <v>181</v>
      </c>
      <c r="H23" s="9"/>
      <c r="I23" s="20">
        <f t="shared" ref="I23" si="80">LEN(F23)</f>
        <v>30</v>
      </c>
      <c r="J23" s="20" t="str">
        <f t="shared" ref="J23" si="81">IF(LEN(F23)&lt;=$J$1,F23,"")</f>
        <v/>
      </c>
      <c r="K23" s="24" t="s">
        <v>67</v>
      </c>
      <c r="L23" s="38" t="s">
        <v>54</v>
      </c>
      <c r="M23" s="25" t="s">
        <v>51</v>
      </c>
      <c r="N23" s="25" t="s">
        <v>52</v>
      </c>
      <c r="O23" s="25"/>
      <c r="P23" s="18"/>
      <c r="Q23" s="18"/>
      <c r="R23" s="25" t="s">
        <v>53</v>
      </c>
      <c r="S23" s="25" t="s">
        <v>53</v>
      </c>
      <c r="T23" s="25" t="s">
        <v>53</v>
      </c>
      <c r="U23" s="25" t="s">
        <v>53</v>
      </c>
      <c r="V23" s="23"/>
      <c r="W23" s="23"/>
      <c r="X23" s="25" t="s">
        <v>53</v>
      </c>
      <c r="Y23" s="25">
        <v>2</v>
      </c>
      <c r="Z23" s="23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37" t="s">
        <v>70</v>
      </c>
      <c r="AJ23" s="26" t="s">
        <v>68</v>
      </c>
      <c r="AK23" s="26" t="s">
        <v>58</v>
      </c>
      <c r="AL23" s="26" t="s">
        <v>57</v>
      </c>
      <c r="AM23" s="26" t="s">
        <v>79</v>
      </c>
      <c r="AN23" s="26"/>
      <c r="AO23" s="26" t="s">
        <v>56</v>
      </c>
      <c r="AP23" s="26" t="str">
        <f t="shared" ref="AP23" si="82">CONCATENATE(AJ23, ".", AL23)</f>
        <v>ARCPTOC1.Op.general</v>
      </c>
      <c r="AQ23" s="26" t="s">
        <v>55</v>
      </c>
      <c r="AR23" s="23">
        <v>0</v>
      </c>
      <c r="AS23" s="23">
        <v>1</v>
      </c>
      <c r="AT23" s="23">
        <v>0</v>
      </c>
      <c r="AU23" s="23">
        <v>1</v>
      </c>
      <c r="AV23" s="23">
        <v>1</v>
      </c>
      <c r="AW23" s="23">
        <v>1</v>
      </c>
      <c r="AX23" s="23">
        <v>1</v>
      </c>
      <c r="AY23" s="35"/>
      <c r="AZ23" s="23"/>
      <c r="BA23" s="23"/>
      <c r="BB23" s="23"/>
      <c r="BC23" s="23"/>
      <c r="BD23" s="23"/>
      <c r="BE23" s="23"/>
      <c r="BF23" s="23"/>
      <c r="BG23" s="21" t="str">
        <f t="shared" ref="BG23" si="83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"Неисправность IPC для MPU-IPU1", note: "Неисправность IPC для MPU-IPU1", group: "status", minValue: null, maxValue: null, step: null, units: "null", defaultValue: null, eventRegistration: 2</v>
      </c>
    </row>
    <row r="24" spans="1:59" s="27" customFormat="1" ht="15.75" x14ac:dyDescent="0.25">
      <c r="A24" s="22"/>
      <c r="B24" s="42" t="s">
        <v>83</v>
      </c>
      <c r="C24" s="23"/>
      <c r="D24" s="30" t="s">
        <v>87</v>
      </c>
      <c r="E24" s="20" t="s">
        <v>182</v>
      </c>
      <c r="F24" s="20" t="s">
        <v>183</v>
      </c>
      <c r="G24" s="20" t="s">
        <v>183</v>
      </c>
      <c r="H24" s="9"/>
      <c r="I24" s="20">
        <f t="shared" ref="I24" si="84">LEN(F24)</f>
        <v>19</v>
      </c>
      <c r="J24" s="20" t="str">
        <f t="shared" ref="J24" si="85">IF(LEN(F24)&lt;=$J$1,F24,"")</f>
        <v>RED12.Неисправность</v>
      </c>
      <c r="K24" s="24" t="s">
        <v>67</v>
      </c>
      <c r="L24" s="38" t="s">
        <v>54</v>
      </c>
      <c r="M24" s="25" t="s">
        <v>51</v>
      </c>
      <c r="N24" s="25" t="s">
        <v>52</v>
      </c>
      <c r="O24" s="25"/>
      <c r="P24" s="18"/>
      <c r="Q24" s="18"/>
      <c r="R24" s="25" t="s">
        <v>53</v>
      </c>
      <c r="S24" s="25" t="s">
        <v>53</v>
      </c>
      <c r="T24" s="25" t="s">
        <v>53</v>
      </c>
      <c r="U24" s="25" t="s">
        <v>53</v>
      </c>
      <c r="V24" s="23"/>
      <c r="W24" s="23"/>
      <c r="X24" s="25" t="s">
        <v>53</v>
      </c>
      <c r="Y24" s="25">
        <v>2</v>
      </c>
      <c r="Z24" s="23"/>
      <c r="AA24" s="19">
        <v>0</v>
      </c>
      <c r="AB24" s="19"/>
      <c r="AC24" s="19"/>
      <c r="AD24" s="19"/>
      <c r="AE24" s="19"/>
      <c r="AF24" s="19">
        <v>0</v>
      </c>
      <c r="AG24" s="19">
        <v>0</v>
      </c>
      <c r="AH24" s="19">
        <v>0</v>
      </c>
      <c r="AI24" s="37" t="s">
        <v>70</v>
      </c>
      <c r="AJ24" s="26" t="s">
        <v>68</v>
      </c>
      <c r="AK24" s="26" t="s">
        <v>58</v>
      </c>
      <c r="AL24" s="26" t="s">
        <v>57</v>
      </c>
      <c r="AM24" s="26" t="s">
        <v>79</v>
      </c>
      <c r="AN24" s="26"/>
      <c r="AO24" s="26" t="s">
        <v>56</v>
      </c>
      <c r="AP24" s="26" t="str">
        <f t="shared" ref="AP24" si="86">CONCATENATE(AJ24, ".", AL24)</f>
        <v>ARCPTOC1.Op.general</v>
      </c>
      <c r="AQ24" s="26" t="s">
        <v>55</v>
      </c>
      <c r="AR24" s="23">
        <v>0</v>
      </c>
      <c r="AS24" s="23">
        <v>1</v>
      </c>
      <c r="AT24" s="23">
        <v>0</v>
      </c>
      <c r="AU24" s="23">
        <v>1</v>
      </c>
      <c r="AV24" s="23">
        <v>1</v>
      </c>
      <c r="AW24" s="23">
        <v>1</v>
      </c>
      <c r="AX24" s="23">
        <v>1</v>
      </c>
      <c r="AY24" s="35"/>
      <c r="AZ24" s="23"/>
      <c r="BA24" s="23"/>
      <c r="BB24" s="23"/>
      <c r="BC24" s="23"/>
      <c r="BD24" s="23"/>
      <c r="BE24" s="23"/>
      <c r="BF24" s="23"/>
      <c r="BG24" s="21" t="str">
        <f t="shared" ref="BG24" si="8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"RED12.Неисправность", note: "Интерфейс RED12. Неисправность связи", group: "status", minValue: null, maxValue: null, step: null, units: "null", defaultValue: null, eventRegistration: 2</v>
      </c>
    </row>
    <row r="25" spans="1:59" s="27" customFormat="1" ht="15.75" x14ac:dyDescent="0.25">
      <c r="A25" s="22"/>
      <c r="B25" s="42" t="s">
        <v>83</v>
      </c>
      <c r="C25" s="23"/>
      <c r="D25" s="30" t="s">
        <v>87</v>
      </c>
      <c r="E25" s="20" t="s">
        <v>184</v>
      </c>
      <c r="F25" s="20" t="s">
        <v>185</v>
      </c>
      <c r="G25" s="20" t="s">
        <v>185</v>
      </c>
      <c r="H25" s="9"/>
      <c r="I25" s="20">
        <f t="shared" ref="I25" si="88">LEN(F25)</f>
        <v>19</v>
      </c>
      <c r="J25" s="20" t="str">
        <f t="shared" ref="J25" si="89">IF(LEN(F25)&lt;=$J$1,F25,"")</f>
        <v>RED34.Неисправность</v>
      </c>
      <c r="K25" s="24" t="s">
        <v>67</v>
      </c>
      <c r="L25" s="38" t="s">
        <v>54</v>
      </c>
      <c r="M25" s="25" t="s">
        <v>51</v>
      </c>
      <c r="N25" s="25" t="s">
        <v>52</v>
      </c>
      <c r="O25" s="25"/>
      <c r="P25" s="18"/>
      <c r="Q25" s="18"/>
      <c r="R25" s="25" t="s">
        <v>53</v>
      </c>
      <c r="S25" s="25" t="s">
        <v>53</v>
      </c>
      <c r="T25" s="25" t="s">
        <v>53</v>
      </c>
      <c r="U25" s="25" t="s">
        <v>53</v>
      </c>
      <c r="V25" s="23"/>
      <c r="W25" s="23"/>
      <c r="X25" s="25" t="s">
        <v>53</v>
      </c>
      <c r="Y25" s="25">
        <v>2</v>
      </c>
      <c r="Z25" s="23"/>
      <c r="AA25" s="19">
        <v>0</v>
      </c>
      <c r="AB25" s="19"/>
      <c r="AC25" s="19"/>
      <c r="AD25" s="19"/>
      <c r="AE25" s="19"/>
      <c r="AF25" s="19">
        <v>0</v>
      </c>
      <c r="AG25" s="19">
        <v>0</v>
      </c>
      <c r="AH25" s="19">
        <v>0</v>
      </c>
      <c r="AI25" s="37" t="s">
        <v>70</v>
      </c>
      <c r="AJ25" s="26" t="s">
        <v>68</v>
      </c>
      <c r="AK25" s="26" t="s">
        <v>58</v>
      </c>
      <c r="AL25" s="26" t="s">
        <v>57</v>
      </c>
      <c r="AM25" s="26" t="s">
        <v>79</v>
      </c>
      <c r="AN25" s="26"/>
      <c r="AO25" s="26" t="s">
        <v>56</v>
      </c>
      <c r="AP25" s="26" t="str">
        <f t="shared" ref="AP25" si="90">CONCATENATE(AJ25, ".", AL25)</f>
        <v>ARCPTOC1.Op.general</v>
      </c>
      <c r="AQ25" s="26" t="s">
        <v>55</v>
      </c>
      <c r="AR25" s="23">
        <v>0</v>
      </c>
      <c r="AS25" s="23">
        <v>1</v>
      </c>
      <c r="AT25" s="23">
        <v>0</v>
      </c>
      <c r="AU25" s="23">
        <v>1</v>
      </c>
      <c r="AV25" s="23">
        <v>1</v>
      </c>
      <c r="AW25" s="23">
        <v>1</v>
      </c>
      <c r="AX25" s="23">
        <v>1</v>
      </c>
      <c r="AY25" s="35"/>
      <c r="AZ25" s="23"/>
      <c r="BA25" s="23"/>
      <c r="BB25" s="23"/>
      <c r="BC25" s="23"/>
      <c r="BD25" s="23"/>
      <c r="BE25" s="23"/>
      <c r="BF25" s="23"/>
      <c r="BG25" s="21" t="str">
        <f t="shared" ref="BG25" si="91">CONCATENATE("description: """,F25,"""", ", ", "note: """,E25,"""",", ","group: """, B25, """",", ","minValue: ", S25,", ","maxValue: ", T25,", ","step: ", U25,", ","units: """, R25, """",", ","defaultValue: ", X25,", ","eventRegistration: ", Y25,)</f>
        <v>description: "RED34.Неисправность", note: "Интерфейс RED34. Неисправность связи", group: "status", minValue: null, maxValue: null, step: null, units: "null", defaultValue: null, eventRegistration: 2</v>
      </c>
    </row>
    <row r="26" spans="1:59" s="27" customFormat="1" ht="15.75" x14ac:dyDescent="0.25">
      <c r="A26" s="22"/>
      <c r="B26" s="42" t="s">
        <v>83</v>
      </c>
      <c r="C26" s="23"/>
      <c r="D26" s="30" t="s">
        <v>87</v>
      </c>
      <c r="E26" s="20" t="s">
        <v>186</v>
      </c>
      <c r="F26" s="20" t="s">
        <v>187</v>
      </c>
      <c r="G26" s="20" t="s">
        <v>187</v>
      </c>
      <c r="H26" s="9"/>
      <c r="I26" s="20">
        <f t="shared" ref="I26" si="92">LEN(F26)</f>
        <v>16</v>
      </c>
      <c r="J26" s="20" t="str">
        <f t="shared" ref="J26" si="93">IF(LEN(F26)&lt;=$J$1,F26,"")</f>
        <v>X1.Неисправность</v>
      </c>
      <c r="K26" s="24" t="s">
        <v>67</v>
      </c>
      <c r="L26" s="38" t="s">
        <v>54</v>
      </c>
      <c r="M26" s="25" t="s">
        <v>51</v>
      </c>
      <c r="N26" s="25" t="s">
        <v>52</v>
      </c>
      <c r="O26" s="25"/>
      <c r="P26" s="18"/>
      <c r="Q26" s="18"/>
      <c r="R26" s="25" t="s">
        <v>53</v>
      </c>
      <c r="S26" s="25" t="s">
        <v>53</v>
      </c>
      <c r="T26" s="25" t="s">
        <v>53</v>
      </c>
      <c r="U26" s="25" t="s">
        <v>53</v>
      </c>
      <c r="V26" s="23"/>
      <c r="W26" s="23"/>
      <c r="X26" s="25" t="s">
        <v>53</v>
      </c>
      <c r="Y26" s="25">
        <v>2</v>
      </c>
      <c r="Z26" s="23"/>
      <c r="AA26" s="19">
        <v>0</v>
      </c>
      <c r="AB26" s="19"/>
      <c r="AC26" s="19"/>
      <c r="AD26" s="19"/>
      <c r="AE26" s="19"/>
      <c r="AF26" s="19">
        <v>0</v>
      </c>
      <c r="AG26" s="19">
        <v>0</v>
      </c>
      <c r="AH26" s="19">
        <v>0</v>
      </c>
      <c r="AI26" s="37" t="s">
        <v>70</v>
      </c>
      <c r="AJ26" s="26" t="s">
        <v>68</v>
      </c>
      <c r="AK26" s="26" t="s">
        <v>58</v>
      </c>
      <c r="AL26" s="26" t="s">
        <v>57</v>
      </c>
      <c r="AM26" s="26" t="s">
        <v>79</v>
      </c>
      <c r="AN26" s="26"/>
      <c r="AO26" s="26" t="s">
        <v>56</v>
      </c>
      <c r="AP26" s="26" t="str">
        <f t="shared" ref="AP26" si="94">CONCATENATE(AJ26, ".", AL26)</f>
        <v>ARCPTOC1.Op.general</v>
      </c>
      <c r="AQ26" s="26" t="s">
        <v>55</v>
      </c>
      <c r="AR26" s="23">
        <v>0</v>
      </c>
      <c r="AS26" s="23">
        <v>1</v>
      </c>
      <c r="AT26" s="23">
        <v>0</v>
      </c>
      <c r="AU26" s="23">
        <v>1</v>
      </c>
      <c r="AV26" s="23">
        <v>1</v>
      </c>
      <c r="AW26" s="23">
        <v>1</v>
      </c>
      <c r="AX26" s="23">
        <v>1</v>
      </c>
      <c r="AY26" s="35"/>
      <c r="AZ26" s="23"/>
      <c r="BA26" s="23"/>
      <c r="BB26" s="23"/>
      <c r="BC26" s="23"/>
      <c r="BD26" s="23"/>
      <c r="BE26" s="23"/>
      <c r="BF26" s="23"/>
      <c r="BG26" s="21" t="str">
        <f t="shared" ref="BG26" si="95">CONCATENATE("description: """,F26,"""", ", ", "note: """,E26,"""",", ","group: """, B26, """",", ","minValue: ", S26,", ","maxValue: ", T26,", ","step: ", U26,", ","units: """, R26, """",", ","defaultValue: ", X26,", ","eventRegistration: ", Y26,)</f>
        <v>description: "X1.Неисправность", note: "Неисправность связи по интерфейсу Eth1", group: "status", minValue: null, maxValue: null, step: null, units: "null", defaultValue: null, eventRegistration: 2</v>
      </c>
    </row>
    <row r="27" spans="1:59" s="27" customFormat="1" ht="16.5" customHeight="1" x14ac:dyDescent="0.25">
      <c r="A27" s="22"/>
      <c r="B27" s="42" t="s">
        <v>83</v>
      </c>
      <c r="C27" s="23"/>
      <c r="D27" s="30" t="s">
        <v>87</v>
      </c>
      <c r="E27" s="20" t="s">
        <v>188</v>
      </c>
      <c r="F27" s="20" t="s">
        <v>189</v>
      </c>
      <c r="G27" s="20" t="s">
        <v>189</v>
      </c>
      <c r="H27" s="9"/>
      <c r="I27" s="20">
        <f t="shared" ref="I27" si="96">LEN(F27)</f>
        <v>18</v>
      </c>
      <c r="J27" s="20" t="str">
        <f t="shared" ref="J27" si="97">IF(LEN(F27)&lt;=$J$1,F27,"")</f>
        <v>X1.Переп.вых.буфер</v>
      </c>
      <c r="K27" s="24" t="s">
        <v>67</v>
      </c>
      <c r="L27" s="38" t="s">
        <v>54</v>
      </c>
      <c r="M27" s="25" t="s">
        <v>51</v>
      </c>
      <c r="N27" s="25" t="s">
        <v>52</v>
      </c>
      <c r="O27" s="25"/>
      <c r="P27" s="18"/>
      <c r="Q27" s="18"/>
      <c r="R27" s="25" t="s">
        <v>53</v>
      </c>
      <c r="S27" s="25" t="s">
        <v>53</v>
      </c>
      <c r="T27" s="25" t="s">
        <v>53</v>
      </c>
      <c r="U27" s="25" t="s">
        <v>53</v>
      </c>
      <c r="V27" s="23"/>
      <c r="W27" s="23"/>
      <c r="X27" s="25" t="s">
        <v>53</v>
      </c>
      <c r="Y27" s="25">
        <v>2</v>
      </c>
      <c r="Z27" s="23"/>
      <c r="AA27" s="19">
        <v>0</v>
      </c>
      <c r="AB27" s="19"/>
      <c r="AC27" s="19"/>
      <c r="AD27" s="19"/>
      <c r="AE27" s="19"/>
      <c r="AF27" s="19">
        <v>0</v>
      </c>
      <c r="AG27" s="19">
        <v>0</v>
      </c>
      <c r="AH27" s="19">
        <v>0</v>
      </c>
      <c r="AI27" s="37" t="s">
        <v>70</v>
      </c>
      <c r="AJ27" s="26" t="s">
        <v>68</v>
      </c>
      <c r="AK27" s="26" t="s">
        <v>58</v>
      </c>
      <c r="AL27" s="26" t="s">
        <v>57</v>
      </c>
      <c r="AM27" s="26" t="s">
        <v>79</v>
      </c>
      <c r="AN27" s="26"/>
      <c r="AO27" s="26" t="s">
        <v>56</v>
      </c>
      <c r="AP27" s="26" t="str">
        <f t="shared" ref="AP27" si="98">CONCATENATE(AJ27, ".", AL27)</f>
        <v>ARCPTOC1.Op.general</v>
      </c>
      <c r="AQ27" s="26" t="s">
        <v>55</v>
      </c>
      <c r="AR27" s="23">
        <v>0</v>
      </c>
      <c r="AS27" s="23">
        <v>1</v>
      </c>
      <c r="AT27" s="23">
        <v>0</v>
      </c>
      <c r="AU27" s="23">
        <v>1</v>
      </c>
      <c r="AV27" s="23">
        <v>1</v>
      </c>
      <c r="AW27" s="23">
        <v>1</v>
      </c>
      <c r="AX27" s="23">
        <v>1</v>
      </c>
      <c r="AY27" s="35"/>
      <c r="AZ27" s="23"/>
      <c r="BA27" s="23"/>
      <c r="BB27" s="23"/>
      <c r="BC27" s="23"/>
      <c r="BD27" s="23"/>
      <c r="BE27" s="23"/>
      <c r="BF27" s="23"/>
      <c r="BG27" s="21" t="str">
        <f t="shared" ref="BG27" si="99">CONCATENATE("description: """,F27,"""", ", ", "note: """,E27,"""",", ","group: """, B27, """",", ","minValue: ", S27,", ","maxValue: ", T27,", ","step: ", U27,", ","units: """, R27, """",", ","defaultValue: ", X27,", ","eventRegistration: ", Y27,)</f>
        <v>description: "X1.Переп.вых.буфер", note: "Интерфейс Eth1. Переполнение буфера выходных данных", group: "status", minValue: null, maxValue: null, step: null, units: "null", defaultValue: null, eventRegistration: 2</v>
      </c>
    </row>
    <row r="28" spans="1:59" s="27" customFormat="1" ht="18" customHeight="1" x14ac:dyDescent="0.25">
      <c r="A28" s="22"/>
      <c r="B28" s="42" t="s">
        <v>83</v>
      </c>
      <c r="C28" s="23"/>
      <c r="D28" s="30" t="s">
        <v>87</v>
      </c>
      <c r="E28" s="20" t="s">
        <v>190</v>
      </c>
      <c r="F28" s="20" t="s">
        <v>191</v>
      </c>
      <c r="G28" s="20" t="s">
        <v>191</v>
      </c>
      <c r="H28" s="9"/>
      <c r="I28" s="20">
        <f t="shared" ref="I28" si="100">LEN(F28)</f>
        <v>17</v>
      </c>
      <c r="J28" s="20" t="str">
        <f t="shared" ref="J28" si="101">IF(LEN(F28)&lt;=$J$1,F28,"")</f>
        <v>X1.Переп.вх.буфер</v>
      </c>
      <c r="K28" s="24" t="s">
        <v>67</v>
      </c>
      <c r="L28" s="38" t="s">
        <v>54</v>
      </c>
      <c r="M28" s="25" t="s">
        <v>51</v>
      </c>
      <c r="N28" s="25" t="s">
        <v>52</v>
      </c>
      <c r="O28" s="25"/>
      <c r="P28" s="18"/>
      <c r="Q28" s="18"/>
      <c r="R28" s="25" t="s">
        <v>53</v>
      </c>
      <c r="S28" s="25" t="s">
        <v>53</v>
      </c>
      <c r="T28" s="25" t="s">
        <v>53</v>
      </c>
      <c r="U28" s="25" t="s">
        <v>53</v>
      </c>
      <c r="V28" s="23"/>
      <c r="W28" s="23"/>
      <c r="X28" s="25" t="s">
        <v>53</v>
      </c>
      <c r="Y28" s="25">
        <v>2</v>
      </c>
      <c r="Z28" s="23"/>
      <c r="AA28" s="19">
        <v>0</v>
      </c>
      <c r="AB28" s="19"/>
      <c r="AC28" s="19"/>
      <c r="AD28" s="19"/>
      <c r="AE28" s="19"/>
      <c r="AF28" s="19">
        <v>0</v>
      </c>
      <c r="AG28" s="19">
        <v>0</v>
      </c>
      <c r="AH28" s="19">
        <v>0</v>
      </c>
      <c r="AI28" s="37" t="s">
        <v>70</v>
      </c>
      <c r="AJ28" s="26" t="s">
        <v>68</v>
      </c>
      <c r="AK28" s="26" t="s">
        <v>58</v>
      </c>
      <c r="AL28" s="26" t="s">
        <v>57</v>
      </c>
      <c r="AM28" s="26" t="s">
        <v>79</v>
      </c>
      <c r="AN28" s="26"/>
      <c r="AO28" s="26" t="s">
        <v>56</v>
      </c>
      <c r="AP28" s="26" t="str">
        <f t="shared" ref="AP28" si="102">CONCATENATE(AJ28, ".", AL28)</f>
        <v>ARCPTOC1.Op.general</v>
      </c>
      <c r="AQ28" s="26" t="s">
        <v>55</v>
      </c>
      <c r="AR28" s="23">
        <v>0</v>
      </c>
      <c r="AS28" s="23">
        <v>1</v>
      </c>
      <c r="AT28" s="23">
        <v>0</v>
      </c>
      <c r="AU28" s="23">
        <v>1</v>
      </c>
      <c r="AV28" s="23">
        <v>1</v>
      </c>
      <c r="AW28" s="23">
        <v>1</v>
      </c>
      <c r="AX28" s="23">
        <v>1</v>
      </c>
      <c r="AY28" s="35"/>
      <c r="AZ28" s="23"/>
      <c r="BA28" s="23"/>
      <c r="BB28" s="23"/>
      <c r="BC28" s="23"/>
      <c r="BD28" s="23"/>
      <c r="BE28" s="23"/>
      <c r="BF28" s="23"/>
      <c r="BG28" s="21" t="str">
        <f t="shared" ref="BG28" si="103">CONCATENATE("description: """,F28,"""", ", ", "note: """,E28,"""",", ","group: """, B28, """",", ","minValue: ", S28,", ","maxValue: ", T28,", ","step: ", U28,", ","units: """, R28, """",", ","defaultValue: ", X28,", ","eventRegistration: ", Y28,)</f>
        <v>description: "X1.Переп.вх.буфер", note: "Интерфейс Eth1. Переполнение буфера входных данных", group: "status", minValue: null, maxValue: null, step: null, units: "null", defaultValue: null, eventRegistration: 2</v>
      </c>
    </row>
    <row r="29" spans="1:59" s="27" customFormat="1" ht="15.75" x14ac:dyDescent="0.25">
      <c r="A29" s="22"/>
      <c r="B29" s="42" t="s">
        <v>83</v>
      </c>
      <c r="C29" s="23"/>
      <c r="D29" s="30" t="s">
        <v>87</v>
      </c>
      <c r="E29" s="20" t="s">
        <v>192</v>
      </c>
      <c r="F29" s="20" t="s">
        <v>195</v>
      </c>
      <c r="G29" s="20" t="s">
        <v>195</v>
      </c>
      <c r="H29" s="9"/>
      <c r="I29" s="20">
        <f t="shared" ref="I29:I31" si="104">LEN(F29)</f>
        <v>16</v>
      </c>
      <c r="J29" s="20" t="str">
        <f t="shared" ref="J29:J31" si="105">IF(LEN(F29)&lt;=$J$1,F29,"")</f>
        <v>X2.Неисправность</v>
      </c>
      <c r="K29" s="24" t="s">
        <v>67</v>
      </c>
      <c r="L29" s="38" t="s">
        <v>54</v>
      </c>
      <c r="M29" s="25" t="s">
        <v>51</v>
      </c>
      <c r="N29" s="25" t="s">
        <v>52</v>
      </c>
      <c r="O29" s="25"/>
      <c r="P29" s="18"/>
      <c r="Q29" s="18"/>
      <c r="R29" s="25" t="s">
        <v>53</v>
      </c>
      <c r="S29" s="25" t="s">
        <v>53</v>
      </c>
      <c r="T29" s="25" t="s">
        <v>53</v>
      </c>
      <c r="U29" s="25" t="s">
        <v>53</v>
      </c>
      <c r="V29" s="23"/>
      <c r="W29" s="23"/>
      <c r="X29" s="25" t="s">
        <v>53</v>
      </c>
      <c r="Y29" s="25">
        <v>2</v>
      </c>
      <c r="Z29" s="23"/>
      <c r="AA29" s="19">
        <v>0</v>
      </c>
      <c r="AB29" s="19"/>
      <c r="AC29" s="19"/>
      <c r="AD29" s="19"/>
      <c r="AE29" s="19"/>
      <c r="AF29" s="19">
        <v>0</v>
      </c>
      <c r="AG29" s="19">
        <v>0</v>
      </c>
      <c r="AH29" s="19">
        <v>0</v>
      </c>
      <c r="AI29" s="37" t="s">
        <v>70</v>
      </c>
      <c r="AJ29" s="26" t="s">
        <v>68</v>
      </c>
      <c r="AK29" s="26" t="s">
        <v>58</v>
      </c>
      <c r="AL29" s="26" t="s">
        <v>57</v>
      </c>
      <c r="AM29" s="26" t="s">
        <v>79</v>
      </c>
      <c r="AN29" s="26"/>
      <c r="AO29" s="26" t="s">
        <v>56</v>
      </c>
      <c r="AP29" s="26" t="str">
        <f t="shared" ref="AP29:AP31" si="106">CONCATENATE(AJ29, ".", AL29)</f>
        <v>ARCPTOC1.Op.general</v>
      </c>
      <c r="AQ29" s="26" t="s">
        <v>55</v>
      </c>
      <c r="AR29" s="23">
        <v>0</v>
      </c>
      <c r="AS29" s="23">
        <v>1</v>
      </c>
      <c r="AT29" s="23">
        <v>0</v>
      </c>
      <c r="AU29" s="23">
        <v>1</v>
      </c>
      <c r="AV29" s="23">
        <v>1</v>
      </c>
      <c r="AW29" s="23">
        <v>1</v>
      </c>
      <c r="AX29" s="23">
        <v>1</v>
      </c>
      <c r="AY29" s="35"/>
      <c r="AZ29" s="23"/>
      <c r="BA29" s="23"/>
      <c r="BB29" s="23"/>
      <c r="BC29" s="23"/>
      <c r="BD29" s="23"/>
      <c r="BE29" s="23"/>
      <c r="BF29" s="23"/>
      <c r="BG29" s="21" t="str">
        <f t="shared" ref="BG29:BG31" si="107">CONCATENATE("description: """,F29,"""", ", ", "note: """,E29,"""",", ","group: """, B29, """",", ","minValue: ", S29,", ","maxValue: ", T29,", ","step: ", U29,", ","units: """, R29, """",", ","defaultValue: ", X29,", ","eventRegistration: ", Y29,)</f>
        <v>description: "X2.Неисправность", note: "Неисправность связи по интерфейсу Eth2", group: "status", minValue: null, maxValue: null, step: null, units: "null", defaultValue: null, eventRegistration: 2</v>
      </c>
    </row>
    <row r="30" spans="1:59" s="27" customFormat="1" ht="16.5" customHeight="1" x14ac:dyDescent="0.25">
      <c r="A30" s="22"/>
      <c r="B30" s="42" t="s">
        <v>83</v>
      </c>
      <c r="C30" s="23"/>
      <c r="D30" s="30" t="s">
        <v>87</v>
      </c>
      <c r="E30" s="20" t="s">
        <v>193</v>
      </c>
      <c r="F30" s="20" t="s">
        <v>196</v>
      </c>
      <c r="G30" s="20" t="s">
        <v>196</v>
      </c>
      <c r="H30" s="9"/>
      <c r="I30" s="20">
        <f t="shared" si="104"/>
        <v>18</v>
      </c>
      <c r="J30" s="20" t="str">
        <f t="shared" si="105"/>
        <v>X2.Переп.вых.буфер</v>
      </c>
      <c r="K30" s="24" t="s">
        <v>67</v>
      </c>
      <c r="L30" s="38" t="s">
        <v>54</v>
      </c>
      <c r="M30" s="25" t="s">
        <v>51</v>
      </c>
      <c r="N30" s="25" t="s">
        <v>52</v>
      </c>
      <c r="O30" s="25"/>
      <c r="P30" s="18"/>
      <c r="Q30" s="18"/>
      <c r="R30" s="25" t="s">
        <v>53</v>
      </c>
      <c r="S30" s="25" t="s">
        <v>53</v>
      </c>
      <c r="T30" s="25" t="s">
        <v>53</v>
      </c>
      <c r="U30" s="25" t="s">
        <v>53</v>
      </c>
      <c r="V30" s="23"/>
      <c r="W30" s="23"/>
      <c r="X30" s="25" t="s">
        <v>53</v>
      </c>
      <c r="Y30" s="25">
        <v>2</v>
      </c>
      <c r="Z30" s="23"/>
      <c r="AA30" s="19">
        <v>0</v>
      </c>
      <c r="AB30" s="19"/>
      <c r="AC30" s="19"/>
      <c r="AD30" s="19"/>
      <c r="AE30" s="19"/>
      <c r="AF30" s="19">
        <v>0</v>
      </c>
      <c r="AG30" s="19">
        <v>0</v>
      </c>
      <c r="AH30" s="19">
        <v>0</v>
      </c>
      <c r="AI30" s="37" t="s">
        <v>70</v>
      </c>
      <c r="AJ30" s="26" t="s">
        <v>68</v>
      </c>
      <c r="AK30" s="26" t="s">
        <v>58</v>
      </c>
      <c r="AL30" s="26" t="s">
        <v>57</v>
      </c>
      <c r="AM30" s="26" t="s">
        <v>79</v>
      </c>
      <c r="AN30" s="26"/>
      <c r="AO30" s="26" t="s">
        <v>56</v>
      </c>
      <c r="AP30" s="26" t="str">
        <f t="shared" si="106"/>
        <v>ARCPTOC1.Op.general</v>
      </c>
      <c r="AQ30" s="26" t="s">
        <v>55</v>
      </c>
      <c r="AR30" s="23">
        <v>0</v>
      </c>
      <c r="AS30" s="23">
        <v>1</v>
      </c>
      <c r="AT30" s="23">
        <v>0</v>
      </c>
      <c r="AU30" s="23">
        <v>1</v>
      </c>
      <c r="AV30" s="23">
        <v>1</v>
      </c>
      <c r="AW30" s="23">
        <v>1</v>
      </c>
      <c r="AX30" s="23">
        <v>1</v>
      </c>
      <c r="AY30" s="35"/>
      <c r="AZ30" s="23"/>
      <c r="BA30" s="23"/>
      <c r="BB30" s="23"/>
      <c r="BC30" s="23"/>
      <c r="BD30" s="23"/>
      <c r="BE30" s="23"/>
      <c r="BF30" s="23"/>
      <c r="BG30" s="21" t="str">
        <f t="shared" si="107"/>
        <v>description: "X2.Переп.вых.буфер", note: "Интерфейс Eth2. Переполнение буфера выходных данных", group: "status", minValue: null, maxValue: null, step: null, units: "null", defaultValue: null, eventRegistration: 2</v>
      </c>
    </row>
    <row r="31" spans="1:59" s="27" customFormat="1" ht="18" customHeight="1" x14ac:dyDescent="0.25">
      <c r="A31" s="22"/>
      <c r="B31" s="42" t="s">
        <v>83</v>
      </c>
      <c r="C31" s="23"/>
      <c r="D31" s="30" t="s">
        <v>87</v>
      </c>
      <c r="E31" s="20" t="s">
        <v>194</v>
      </c>
      <c r="F31" s="20" t="s">
        <v>197</v>
      </c>
      <c r="G31" s="20" t="s">
        <v>197</v>
      </c>
      <c r="H31" s="9"/>
      <c r="I31" s="20">
        <f t="shared" si="104"/>
        <v>17</v>
      </c>
      <c r="J31" s="20" t="str">
        <f t="shared" si="105"/>
        <v>X2.Переп.вх.буфер</v>
      </c>
      <c r="K31" s="24" t="s">
        <v>67</v>
      </c>
      <c r="L31" s="38" t="s">
        <v>54</v>
      </c>
      <c r="M31" s="25" t="s">
        <v>51</v>
      </c>
      <c r="N31" s="25" t="s">
        <v>52</v>
      </c>
      <c r="O31" s="25"/>
      <c r="P31" s="18"/>
      <c r="Q31" s="18"/>
      <c r="R31" s="25" t="s">
        <v>53</v>
      </c>
      <c r="S31" s="25" t="s">
        <v>53</v>
      </c>
      <c r="T31" s="25" t="s">
        <v>53</v>
      </c>
      <c r="U31" s="25" t="s">
        <v>53</v>
      </c>
      <c r="V31" s="23"/>
      <c r="W31" s="23"/>
      <c r="X31" s="25" t="s">
        <v>53</v>
      </c>
      <c r="Y31" s="25">
        <v>2</v>
      </c>
      <c r="Z31" s="23"/>
      <c r="AA31" s="19">
        <v>0</v>
      </c>
      <c r="AB31" s="19"/>
      <c r="AC31" s="19"/>
      <c r="AD31" s="19"/>
      <c r="AE31" s="19"/>
      <c r="AF31" s="19">
        <v>0</v>
      </c>
      <c r="AG31" s="19">
        <v>0</v>
      </c>
      <c r="AH31" s="19">
        <v>0</v>
      </c>
      <c r="AI31" s="37" t="s">
        <v>70</v>
      </c>
      <c r="AJ31" s="26" t="s">
        <v>68</v>
      </c>
      <c r="AK31" s="26" t="s">
        <v>58</v>
      </c>
      <c r="AL31" s="26" t="s">
        <v>57</v>
      </c>
      <c r="AM31" s="26" t="s">
        <v>79</v>
      </c>
      <c r="AN31" s="26"/>
      <c r="AO31" s="26" t="s">
        <v>56</v>
      </c>
      <c r="AP31" s="26" t="str">
        <f t="shared" si="106"/>
        <v>ARCPTOC1.Op.general</v>
      </c>
      <c r="AQ31" s="26" t="s">
        <v>55</v>
      </c>
      <c r="AR31" s="23">
        <v>0</v>
      </c>
      <c r="AS31" s="23">
        <v>1</v>
      </c>
      <c r="AT31" s="23">
        <v>0</v>
      </c>
      <c r="AU31" s="23">
        <v>1</v>
      </c>
      <c r="AV31" s="23">
        <v>1</v>
      </c>
      <c r="AW31" s="23">
        <v>1</v>
      </c>
      <c r="AX31" s="23">
        <v>1</v>
      </c>
      <c r="AY31" s="35"/>
      <c r="AZ31" s="23"/>
      <c r="BA31" s="23"/>
      <c r="BB31" s="23"/>
      <c r="BC31" s="23"/>
      <c r="BD31" s="23"/>
      <c r="BE31" s="23"/>
      <c r="BF31" s="23"/>
      <c r="BG31" s="21" t="str">
        <f t="shared" si="107"/>
        <v>description: "X2.Переп.вх.буфер", note: "Интерфейс Eth2. Переполнение буфера входных данных", group: "status", minValue: null, maxValue: null, step: null, units: "null", defaultValue: null, eventRegistration: 2</v>
      </c>
    </row>
    <row r="32" spans="1:59" s="27" customFormat="1" ht="15.75" x14ac:dyDescent="0.25">
      <c r="A32" s="22"/>
      <c r="B32" s="42" t="s">
        <v>83</v>
      </c>
      <c r="C32" s="23"/>
      <c r="D32" s="30" t="s">
        <v>87</v>
      </c>
      <c r="E32" s="20" t="s">
        <v>198</v>
      </c>
      <c r="F32" s="20" t="s">
        <v>201</v>
      </c>
      <c r="G32" s="20" t="s">
        <v>201</v>
      </c>
      <c r="H32" s="9"/>
      <c r="I32" s="20">
        <f t="shared" ref="I32:I34" si="108">LEN(F32)</f>
        <v>16</v>
      </c>
      <c r="J32" s="20" t="str">
        <f t="shared" ref="J32:J34" si="109">IF(LEN(F32)&lt;=$J$1,F32,"")</f>
        <v>X3.Неисправность</v>
      </c>
      <c r="K32" s="24" t="s">
        <v>67</v>
      </c>
      <c r="L32" s="38" t="s">
        <v>54</v>
      </c>
      <c r="M32" s="25" t="s">
        <v>51</v>
      </c>
      <c r="N32" s="25" t="s">
        <v>52</v>
      </c>
      <c r="O32" s="25"/>
      <c r="P32" s="18"/>
      <c r="Q32" s="18"/>
      <c r="R32" s="25" t="s">
        <v>53</v>
      </c>
      <c r="S32" s="25" t="s">
        <v>53</v>
      </c>
      <c r="T32" s="25" t="s">
        <v>53</v>
      </c>
      <c r="U32" s="25" t="s">
        <v>53</v>
      </c>
      <c r="V32" s="23"/>
      <c r="W32" s="23"/>
      <c r="X32" s="25" t="s">
        <v>53</v>
      </c>
      <c r="Y32" s="25">
        <v>2</v>
      </c>
      <c r="Z32" s="23"/>
      <c r="AA32" s="19">
        <v>0</v>
      </c>
      <c r="AB32" s="19"/>
      <c r="AC32" s="19"/>
      <c r="AD32" s="19"/>
      <c r="AE32" s="19"/>
      <c r="AF32" s="19">
        <v>0</v>
      </c>
      <c r="AG32" s="19">
        <v>0</v>
      </c>
      <c r="AH32" s="19">
        <v>0</v>
      </c>
      <c r="AI32" s="37" t="s">
        <v>70</v>
      </c>
      <c r="AJ32" s="26" t="s">
        <v>68</v>
      </c>
      <c r="AK32" s="26" t="s">
        <v>58</v>
      </c>
      <c r="AL32" s="26" t="s">
        <v>57</v>
      </c>
      <c r="AM32" s="26" t="s">
        <v>79</v>
      </c>
      <c r="AN32" s="26"/>
      <c r="AO32" s="26" t="s">
        <v>56</v>
      </c>
      <c r="AP32" s="26" t="str">
        <f t="shared" ref="AP32:AP34" si="110">CONCATENATE(AJ32, ".", AL32)</f>
        <v>ARCPTOC1.Op.general</v>
      </c>
      <c r="AQ32" s="26" t="s">
        <v>55</v>
      </c>
      <c r="AR32" s="23">
        <v>0</v>
      </c>
      <c r="AS32" s="23">
        <v>1</v>
      </c>
      <c r="AT32" s="23">
        <v>0</v>
      </c>
      <c r="AU32" s="23">
        <v>1</v>
      </c>
      <c r="AV32" s="23">
        <v>1</v>
      </c>
      <c r="AW32" s="23">
        <v>1</v>
      </c>
      <c r="AX32" s="23">
        <v>1</v>
      </c>
      <c r="AY32" s="35"/>
      <c r="AZ32" s="23"/>
      <c r="BA32" s="23"/>
      <c r="BB32" s="23"/>
      <c r="BC32" s="23"/>
      <c r="BD32" s="23"/>
      <c r="BE32" s="23"/>
      <c r="BF32" s="23"/>
      <c r="BG32" s="21" t="str">
        <f t="shared" ref="BG32:BG34" si="111">CONCATENATE("description: """,F32,"""", ", ", "note: """,E32,"""",", ","group: """, B32, """",", ","minValue: ", S32,", ","maxValue: ", T32,", ","step: ", U32,", ","units: """, R32, """",", ","defaultValue: ", X32,", ","eventRegistration: ", Y32,)</f>
        <v>description: "X3.Неисправность", note: "Неисправность связи по интерфейсу Eth3", group: "status", minValue: null, maxValue: null, step: null, units: "null", defaultValue: null, eventRegistration: 2</v>
      </c>
    </row>
    <row r="33" spans="1:60" s="27" customFormat="1" ht="16.5" customHeight="1" x14ac:dyDescent="0.25">
      <c r="A33" s="22"/>
      <c r="B33" s="42" t="s">
        <v>83</v>
      </c>
      <c r="C33" s="23"/>
      <c r="D33" s="30" t="s">
        <v>87</v>
      </c>
      <c r="E33" s="20" t="s">
        <v>199</v>
      </c>
      <c r="F33" s="20" t="s">
        <v>202</v>
      </c>
      <c r="G33" s="20" t="s">
        <v>202</v>
      </c>
      <c r="H33" s="9"/>
      <c r="I33" s="20">
        <f t="shared" si="108"/>
        <v>18</v>
      </c>
      <c r="J33" s="20" t="str">
        <f t="shared" si="109"/>
        <v>X3.Переп.вых.буфер</v>
      </c>
      <c r="K33" s="24" t="s">
        <v>67</v>
      </c>
      <c r="L33" s="38" t="s">
        <v>54</v>
      </c>
      <c r="M33" s="25" t="s">
        <v>51</v>
      </c>
      <c r="N33" s="25" t="s">
        <v>52</v>
      </c>
      <c r="O33" s="25"/>
      <c r="P33" s="18"/>
      <c r="Q33" s="18"/>
      <c r="R33" s="25" t="s">
        <v>53</v>
      </c>
      <c r="S33" s="25" t="s">
        <v>53</v>
      </c>
      <c r="T33" s="25" t="s">
        <v>53</v>
      </c>
      <c r="U33" s="25" t="s">
        <v>53</v>
      </c>
      <c r="V33" s="23"/>
      <c r="W33" s="23"/>
      <c r="X33" s="25" t="s">
        <v>53</v>
      </c>
      <c r="Y33" s="25">
        <v>2</v>
      </c>
      <c r="Z33" s="23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37" t="s">
        <v>70</v>
      </c>
      <c r="AJ33" s="26" t="s">
        <v>68</v>
      </c>
      <c r="AK33" s="26" t="s">
        <v>58</v>
      </c>
      <c r="AL33" s="26" t="s">
        <v>57</v>
      </c>
      <c r="AM33" s="26" t="s">
        <v>79</v>
      </c>
      <c r="AN33" s="26"/>
      <c r="AO33" s="26" t="s">
        <v>56</v>
      </c>
      <c r="AP33" s="26" t="str">
        <f t="shared" si="110"/>
        <v>ARCPTOC1.Op.general</v>
      </c>
      <c r="AQ33" s="26" t="s">
        <v>55</v>
      </c>
      <c r="AR33" s="23">
        <v>0</v>
      </c>
      <c r="AS33" s="23">
        <v>1</v>
      </c>
      <c r="AT33" s="23">
        <v>0</v>
      </c>
      <c r="AU33" s="23">
        <v>1</v>
      </c>
      <c r="AV33" s="23">
        <v>1</v>
      </c>
      <c r="AW33" s="23">
        <v>1</v>
      </c>
      <c r="AX33" s="23">
        <v>1</v>
      </c>
      <c r="AY33" s="35"/>
      <c r="AZ33" s="23"/>
      <c r="BA33" s="23"/>
      <c r="BB33" s="23"/>
      <c r="BC33" s="23"/>
      <c r="BD33" s="23"/>
      <c r="BE33" s="23"/>
      <c r="BF33" s="23"/>
      <c r="BG33" s="21" t="str">
        <f t="shared" si="111"/>
        <v>description: "X3.Переп.вых.буфер", note: "Интерфейс Eth3. Переполнение буфера выходных данных", group: "status", minValue: null, maxValue: null, step: null, units: "null", defaultValue: null, eventRegistration: 2</v>
      </c>
    </row>
    <row r="34" spans="1:60" s="27" customFormat="1" ht="18" customHeight="1" x14ac:dyDescent="0.25">
      <c r="A34" s="22"/>
      <c r="B34" s="42" t="s">
        <v>83</v>
      </c>
      <c r="C34" s="23"/>
      <c r="D34" s="30" t="s">
        <v>87</v>
      </c>
      <c r="E34" s="20" t="s">
        <v>200</v>
      </c>
      <c r="F34" s="20" t="s">
        <v>203</v>
      </c>
      <c r="G34" s="20" t="s">
        <v>203</v>
      </c>
      <c r="H34" s="9"/>
      <c r="I34" s="20">
        <f t="shared" si="108"/>
        <v>17</v>
      </c>
      <c r="J34" s="20" t="str">
        <f t="shared" si="109"/>
        <v>X3.Переп.вх.буфер</v>
      </c>
      <c r="K34" s="24" t="s">
        <v>67</v>
      </c>
      <c r="L34" s="38" t="s">
        <v>54</v>
      </c>
      <c r="M34" s="25" t="s">
        <v>51</v>
      </c>
      <c r="N34" s="25" t="s">
        <v>52</v>
      </c>
      <c r="O34" s="25"/>
      <c r="P34" s="18"/>
      <c r="Q34" s="18"/>
      <c r="R34" s="25" t="s">
        <v>53</v>
      </c>
      <c r="S34" s="25" t="s">
        <v>53</v>
      </c>
      <c r="T34" s="25" t="s">
        <v>53</v>
      </c>
      <c r="U34" s="25" t="s">
        <v>53</v>
      </c>
      <c r="V34" s="23"/>
      <c r="W34" s="23"/>
      <c r="X34" s="25" t="s">
        <v>53</v>
      </c>
      <c r="Y34" s="25">
        <v>2</v>
      </c>
      <c r="Z34" s="23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37" t="s">
        <v>70</v>
      </c>
      <c r="AJ34" s="26" t="s">
        <v>68</v>
      </c>
      <c r="AK34" s="26" t="s">
        <v>58</v>
      </c>
      <c r="AL34" s="26" t="s">
        <v>57</v>
      </c>
      <c r="AM34" s="26" t="s">
        <v>79</v>
      </c>
      <c r="AN34" s="26"/>
      <c r="AO34" s="26" t="s">
        <v>56</v>
      </c>
      <c r="AP34" s="26" t="str">
        <f t="shared" si="110"/>
        <v>ARCPTOC1.Op.general</v>
      </c>
      <c r="AQ34" s="26" t="s">
        <v>55</v>
      </c>
      <c r="AR34" s="23">
        <v>0</v>
      </c>
      <c r="AS34" s="23">
        <v>1</v>
      </c>
      <c r="AT34" s="23">
        <v>0</v>
      </c>
      <c r="AU34" s="23">
        <v>1</v>
      </c>
      <c r="AV34" s="23">
        <v>1</v>
      </c>
      <c r="AW34" s="23">
        <v>1</v>
      </c>
      <c r="AX34" s="23">
        <v>1</v>
      </c>
      <c r="AY34" s="35"/>
      <c r="AZ34" s="23"/>
      <c r="BA34" s="23"/>
      <c r="BB34" s="23"/>
      <c r="BC34" s="23"/>
      <c r="BD34" s="23"/>
      <c r="BE34" s="23"/>
      <c r="BF34" s="23"/>
      <c r="BG34" s="21" t="str">
        <f t="shared" si="111"/>
        <v>description: "X3.Переп.вх.буфер", note: "Интерфейс Eth3. Переполнение буфера входных данных", group: "status", minValue: null, maxValue: null, step: null, units: "null", defaultValue: null, eventRegistration: 2</v>
      </c>
    </row>
    <row r="35" spans="1:60" s="27" customFormat="1" ht="15.75" x14ac:dyDescent="0.25">
      <c r="A35" s="22"/>
      <c r="B35" s="42" t="s">
        <v>83</v>
      </c>
      <c r="C35" s="23"/>
      <c r="D35" s="30" t="s">
        <v>87</v>
      </c>
      <c r="E35" s="20" t="s">
        <v>204</v>
      </c>
      <c r="F35" s="20" t="s">
        <v>207</v>
      </c>
      <c r="G35" s="20" t="s">
        <v>207</v>
      </c>
      <c r="H35" s="9"/>
      <c r="I35" s="20">
        <f t="shared" ref="I35:I38" si="112">LEN(F35)</f>
        <v>16</v>
      </c>
      <c r="J35" s="20" t="str">
        <f t="shared" ref="J35:J38" si="113">IF(LEN(F35)&lt;=$J$1,F35,"")</f>
        <v>X4.Неисправность</v>
      </c>
      <c r="K35" s="24" t="s">
        <v>67</v>
      </c>
      <c r="L35" s="38" t="s">
        <v>54</v>
      </c>
      <c r="M35" s="25" t="s">
        <v>51</v>
      </c>
      <c r="N35" s="25" t="s">
        <v>52</v>
      </c>
      <c r="O35" s="25"/>
      <c r="P35" s="18"/>
      <c r="Q35" s="18"/>
      <c r="R35" s="25" t="s">
        <v>53</v>
      </c>
      <c r="S35" s="25" t="s">
        <v>53</v>
      </c>
      <c r="T35" s="25" t="s">
        <v>53</v>
      </c>
      <c r="U35" s="25" t="s">
        <v>53</v>
      </c>
      <c r="V35" s="23"/>
      <c r="W35" s="23"/>
      <c r="X35" s="25" t="s">
        <v>53</v>
      </c>
      <c r="Y35" s="25">
        <v>2</v>
      </c>
      <c r="Z35" s="23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37" t="s">
        <v>70</v>
      </c>
      <c r="AJ35" s="26" t="s">
        <v>68</v>
      </c>
      <c r="AK35" s="26" t="s">
        <v>58</v>
      </c>
      <c r="AL35" s="26" t="s">
        <v>57</v>
      </c>
      <c r="AM35" s="26" t="s">
        <v>79</v>
      </c>
      <c r="AN35" s="26"/>
      <c r="AO35" s="26" t="s">
        <v>56</v>
      </c>
      <c r="AP35" s="26" t="str">
        <f t="shared" ref="AP35:AP38" si="114">CONCATENATE(AJ35, ".", AL35)</f>
        <v>ARCPTOC1.Op.general</v>
      </c>
      <c r="AQ35" s="26" t="s">
        <v>55</v>
      </c>
      <c r="AR35" s="23">
        <v>0</v>
      </c>
      <c r="AS35" s="23">
        <v>1</v>
      </c>
      <c r="AT35" s="23">
        <v>0</v>
      </c>
      <c r="AU35" s="23">
        <v>1</v>
      </c>
      <c r="AV35" s="23">
        <v>1</v>
      </c>
      <c r="AW35" s="23">
        <v>1</v>
      </c>
      <c r="AX35" s="23">
        <v>1</v>
      </c>
      <c r="AY35" s="35"/>
      <c r="AZ35" s="23"/>
      <c r="BA35" s="23"/>
      <c r="BB35" s="23"/>
      <c r="BC35" s="23"/>
      <c r="BD35" s="23"/>
      <c r="BE35" s="23"/>
      <c r="BF35" s="23"/>
      <c r="BG35" s="21" t="str">
        <f t="shared" ref="BG35:BG38" si="115">CONCATENATE("description: """,F35,"""", ", ", "note: """,E35,"""",", ","group: """, B35, """",", ","minValue: ", S35,", ","maxValue: ", T35,", ","step: ", U35,", ","units: """, R35, """",", ","defaultValue: ", X35,", ","eventRegistration: ", Y35,)</f>
        <v>description: "X4.Неисправность", note: "Неисправность связи по интерфейсу Eth4", group: "status", minValue: null, maxValue: null, step: null, units: "null", defaultValue: null, eventRegistration: 2</v>
      </c>
    </row>
    <row r="36" spans="1:60" s="27" customFormat="1" ht="16.5" customHeight="1" x14ac:dyDescent="0.25">
      <c r="A36" s="22"/>
      <c r="B36" s="42" t="s">
        <v>83</v>
      </c>
      <c r="C36" s="23"/>
      <c r="D36" s="30" t="s">
        <v>87</v>
      </c>
      <c r="E36" s="20" t="s">
        <v>205</v>
      </c>
      <c r="F36" s="20" t="s">
        <v>208</v>
      </c>
      <c r="G36" s="20" t="s">
        <v>208</v>
      </c>
      <c r="H36" s="9"/>
      <c r="I36" s="20">
        <f t="shared" si="112"/>
        <v>18</v>
      </c>
      <c r="J36" s="20" t="str">
        <f t="shared" si="113"/>
        <v>X4.Переп.вых.буфер</v>
      </c>
      <c r="K36" s="24" t="s">
        <v>67</v>
      </c>
      <c r="L36" s="38" t="s">
        <v>54</v>
      </c>
      <c r="M36" s="25" t="s">
        <v>51</v>
      </c>
      <c r="N36" s="25" t="s">
        <v>52</v>
      </c>
      <c r="O36" s="25"/>
      <c r="P36" s="18"/>
      <c r="Q36" s="18"/>
      <c r="R36" s="25" t="s">
        <v>53</v>
      </c>
      <c r="S36" s="25" t="s">
        <v>53</v>
      </c>
      <c r="T36" s="25" t="s">
        <v>53</v>
      </c>
      <c r="U36" s="25" t="s">
        <v>53</v>
      </c>
      <c r="V36" s="23"/>
      <c r="W36" s="23"/>
      <c r="X36" s="25" t="s">
        <v>53</v>
      </c>
      <c r="Y36" s="25">
        <v>2</v>
      </c>
      <c r="Z36" s="23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37" t="s">
        <v>70</v>
      </c>
      <c r="AJ36" s="26" t="s">
        <v>68</v>
      </c>
      <c r="AK36" s="26" t="s">
        <v>58</v>
      </c>
      <c r="AL36" s="26" t="s">
        <v>57</v>
      </c>
      <c r="AM36" s="26" t="s">
        <v>79</v>
      </c>
      <c r="AN36" s="26"/>
      <c r="AO36" s="26" t="s">
        <v>56</v>
      </c>
      <c r="AP36" s="26" t="str">
        <f t="shared" si="114"/>
        <v>ARCPTOC1.Op.general</v>
      </c>
      <c r="AQ36" s="26" t="s">
        <v>55</v>
      </c>
      <c r="AR36" s="23">
        <v>0</v>
      </c>
      <c r="AS36" s="23">
        <v>1</v>
      </c>
      <c r="AT36" s="23">
        <v>0</v>
      </c>
      <c r="AU36" s="23">
        <v>1</v>
      </c>
      <c r="AV36" s="23">
        <v>1</v>
      </c>
      <c r="AW36" s="23">
        <v>1</v>
      </c>
      <c r="AX36" s="23">
        <v>1</v>
      </c>
      <c r="AY36" s="35"/>
      <c r="AZ36" s="23"/>
      <c r="BA36" s="23"/>
      <c r="BB36" s="23"/>
      <c r="BC36" s="23"/>
      <c r="BD36" s="23"/>
      <c r="BE36" s="23"/>
      <c r="BF36" s="23"/>
      <c r="BG36" s="21" t="str">
        <f t="shared" si="115"/>
        <v>description: "X4.Переп.вых.буфер", note: "Интерфейс Eth4. Переполнение буфера выходных данных", group: "status", minValue: null, maxValue: null, step: null, units: "null", defaultValue: null, eventRegistration: 2</v>
      </c>
    </row>
    <row r="37" spans="1:60" s="27" customFormat="1" ht="18" customHeight="1" x14ac:dyDescent="0.25">
      <c r="A37" s="22"/>
      <c r="B37" s="42" t="s">
        <v>83</v>
      </c>
      <c r="C37" s="23"/>
      <c r="D37" s="30" t="s">
        <v>87</v>
      </c>
      <c r="E37" s="20" t="s">
        <v>206</v>
      </c>
      <c r="F37" s="20" t="s">
        <v>209</v>
      </c>
      <c r="G37" s="20" t="s">
        <v>209</v>
      </c>
      <c r="H37" s="9"/>
      <c r="I37" s="20">
        <f t="shared" si="112"/>
        <v>17</v>
      </c>
      <c r="J37" s="20" t="str">
        <f t="shared" si="113"/>
        <v>X4.Переп.вх.буфер</v>
      </c>
      <c r="K37" s="24" t="s">
        <v>67</v>
      </c>
      <c r="L37" s="38" t="s">
        <v>54</v>
      </c>
      <c r="M37" s="25" t="s">
        <v>51</v>
      </c>
      <c r="N37" s="25" t="s">
        <v>52</v>
      </c>
      <c r="O37" s="25"/>
      <c r="P37" s="18"/>
      <c r="Q37" s="18"/>
      <c r="R37" s="25" t="s">
        <v>53</v>
      </c>
      <c r="S37" s="25" t="s">
        <v>53</v>
      </c>
      <c r="T37" s="25" t="s">
        <v>53</v>
      </c>
      <c r="U37" s="25" t="s">
        <v>53</v>
      </c>
      <c r="V37" s="23"/>
      <c r="W37" s="23"/>
      <c r="X37" s="25" t="s">
        <v>53</v>
      </c>
      <c r="Y37" s="25">
        <v>2</v>
      </c>
      <c r="Z37" s="23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37" t="s">
        <v>70</v>
      </c>
      <c r="AJ37" s="26" t="s">
        <v>68</v>
      </c>
      <c r="AK37" s="26" t="s">
        <v>58</v>
      </c>
      <c r="AL37" s="26" t="s">
        <v>57</v>
      </c>
      <c r="AM37" s="26" t="s">
        <v>79</v>
      </c>
      <c r="AN37" s="26"/>
      <c r="AO37" s="26" t="s">
        <v>56</v>
      </c>
      <c r="AP37" s="26" t="str">
        <f t="shared" si="114"/>
        <v>ARCPTOC1.Op.general</v>
      </c>
      <c r="AQ37" s="26" t="s">
        <v>55</v>
      </c>
      <c r="AR37" s="23">
        <v>0</v>
      </c>
      <c r="AS37" s="23">
        <v>1</v>
      </c>
      <c r="AT37" s="23">
        <v>0</v>
      </c>
      <c r="AU37" s="23">
        <v>1</v>
      </c>
      <c r="AV37" s="23">
        <v>1</v>
      </c>
      <c r="AW37" s="23">
        <v>1</v>
      </c>
      <c r="AX37" s="23">
        <v>1</v>
      </c>
      <c r="AY37" s="35"/>
      <c r="AZ37" s="23"/>
      <c r="BA37" s="23"/>
      <c r="BB37" s="23"/>
      <c r="BC37" s="23"/>
      <c r="BD37" s="23"/>
      <c r="BE37" s="23"/>
      <c r="BF37" s="23"/>
      <c r="BG37" s="21" t="str">
        <f t="shared" si="115"/>
        <v>description: "X4.Переп.вх.буфер", note: "Интерфейс Eth4. Переполнение буфера входных данных", group: "status", minValue: null, maxValue: null, step: null, units: "null", defaultValue: null, eventRegistration: 2</v>
      </c>
    </row>
    <row r="38" spans="1:60" s="27" customFormat="1" ht="15.75" x14ac:dyDescent="0.25">
      <c r="A38" s="22"/>
      <c r="B38" s="42" t="s">
        <v>83</v>
      </c>
      <c r="C38" s="23"/>
      <c r="D38" s="30" t="s">
        <v>87</v>
      </c>
      <c r="E38" s="20" t="s">
        <v>210</v>
      </c>
      <c r="F38" s="20" t="s">
        <v>228</v>
      </c>
      <c r="G38" s="20" t="s">
        <v>228</v>
      </c>
      <c r="H38" s="9"/>
      <c r="I38" s="20">
        <f t="shared" si="112"/>
        <v>17</v>
      </c>
      <c r="J38" s="20" t="str">
        <f t="shared" si="113"/>
        <v>Температура ЦП &lt;&lt;</v>
      </c>
      <c r="K38" s="24" t="s">
        <v>67</v>
      </c>
      <c r="L38" s="38" t="s">
        <v>54</v>
      </c>
      <c r="M38" s="25" t="s">
        <v>51</v>
      </c>
      <c r="N38" s="25" t="s">
        <v>52</v>
      </c>
      <c r="O38" s="25"/>
      <c r="P38" s="18"/>
      <c r="Q38" s="18"/>
      <c r="R38" s="25" t="s">
        <v>53</v>
      </c>
      <c r="S38" s="25" t="s">
        <v>53</v>
      </c>
      <c r="T38" s="25" t="s">
        <v>53</v>
      </c>
      <c r="U38" s="25" t="s">
        <v>53</v>
      </c>
      <c r="V38" s="23"/>
      <c r="W38" s="23"/>
      <c r="X38" s="25" t="s">
        <v>53</v>
      </c>
      <c r="Y38" s="25">
        <v>2</v>
      </c>
      <c r="Z38" s="23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37" t="s">
        <v>70</v>
      </c>
      <c r="AJ38" s="26" t="s">
        <v>68</v>
      </c>
      <c r="AK38" s="26" t="s">
        <v>58</v>
      </c>
      <c r="AL38" s="26" t="s">
        <v>57</v>
      </c>
      <c r="AM38" s="26" t="s">
        <v>79</v>
      </c>
      <c r="AN38" s="26"/>
      <c r="AO38" s="26" t="s">
        <v>56</v>
      </c>
      <c r="AP38" s="26" t="str">
        <f t="shared" si="114"/>
        <v>ARCPTOC1.Op.general</v>
      </c>
      <c r="AQ38" s="26" t="s">
        <v>55</v>
      </c>
      <c r="AR38" s="23">
        <v>0</v>
      </c>
      <c r="AS38" s="23">
        <v>1</v>
      </c>
      <c r="AT38" s="23">
        <v>0</v>
      </c>
      <c r="AU38" s="23">
        <v>1</v>
      </c>
      <c r="AV38" s="23">
        <v>1</v>
      </c>
      <c r="AW38" s="23">
        <v>1</v>
      </c>
      <c r="AX38" s="23">
        <v>1</v>
      </c>
      <c r="AY38" s="35"/>
      <c r="AZ38" s="23"/>
      <c r="BA38" s="23"/>
      <c r="BB38" s="23"/>
      <c r="BC38" s="23"/>
      <c r="BD38" s="23"/>
      <c r="BE38" s="23"/>
      <c r="BF38" s="23"/>
      <c r="BG38" s="21" t="str">
        <f t="shared" si="115"/>
        <v>description: "Температура ЦП &lt;&lt;", note: "Температура ЦП ниже допустимой", group: "status", minValue: null, maxValue: null, step: null, units: "null", defaultValue: null, eventRegistration: 2</v>
      </c>
    </row>
    <row r="39" spans="1:60" s="27" customFormat="1" ht="15.75" x14ac:dyDescent="0.25">
      <c r="A39" s="22"/>
      <c r="B39" s="42" t="s">
        <v>83</v>
      </c>
      <c r="C39" s="23"/>
      <c r="D39" s="30" t="s">
        <v>87</v>
      </c>
      <c r="E39" s="20" t="s">
        <v>211</v>
      </c>
      <c r="F39" s="20" t="s">
        <v>229</v>
      </c>
      <c r="G39" s="20" t="s">
        <v>229</v>
      </c>
      <c r="H39" s="9"/>
      <c r="I39" s="20">
        <f t="shared" ref="I39:I40" si="116">LEN(F39)</f>
        <v>17</v>
      </c>
      <c r="J39" s="20" t="str">
        <f t="shared" ref="J39:J40" si="117">IF(LEN(F39)&lt;=$J$1,F39,"")</f>
        <v>Температура ЦП &gt;&gt;</v>
      </c>
      <c r="K39" s="24" t="s">
        <v>67</v>
      </c>
      <c r="L39" s="38" t="s">
        <v>54</v>
      </c>
      <c r="M39" s="25" t="s">
        <v>51</v>
      </c>
      <c r="N39" s="25" t="s">
        <v>52</v>
      </c>
      <c r="O39" s="25"/>
      <c r="P39" s="18"/>
      <c r="Q39" s="18"/>
      <c r="R39" s="25" t="s">
        <v>53</v>
      </c>
      <c r="S39" s="25" t="s">
        <v>53</v>
      </c>
      <c r="T39" s="25" t="s">
        <v>53</v>
      </c>
      <c r="U39" s="25" t="s">
        <v>53</v>
      </c>
      <c r="V39" s="23"/>
      <c r="W39" s="23"/>
      <c r="X39" s="25" t="s">
        <v>53</v>
      </c>
      <c r="Y39" s="25">
        <v>2</v>
      </c>
      <c r="Z39" s="23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37" t="s">
        <v>70</v>
      </c>
      <c r="AJ39" s="26" t="s">
        <v>68</v>
      </c>
      <c r="AK39" s="26" t="s">
        <v>58</v>
      </c>
      <c r="AL39" s="26" t="s">
        <v>57</v>
      </c>
      <c r="AM39" s="26" t="s">
        <v>79</v>
      </c>
      <c r="AN39" s="26"/>
      <c r="AO39" s="26" t="s">
        <v>56</v>
      </c>
      <c r="AP39" s="26" t="str">
        <f t="shared" ref="AP39:AP40" si="118">CONCATENATE(AJ39, ".", AL39)</f>
        <v>ARCPTOC1.Op.general</v>
      </c>
      <c r="AQ39" s="26" t="s">
        <v>55</v>
      </c>
      <c r="AR39" s="23">
        <v>0</v>
      </c>
      <c r="AS39" s="23">
        <v>1</v>
      </c>
      <c r="AT39" s="23">
        <v>0</v>
      </c>
      <c r="AU39" s="23">
        <v>1</v>
      </c>
      <c r="AV39" s="23">
        <v>1</v>
      </c>
      <c r="AW39" s="23">
        <v>1</v>
      </c>
      <c r="AX39" s="23">
        <v>1</v>
      </c>
      <c r="AY39" s="35"/>
      <c r="AZ39" s="23"/>
      <c r="BA39" s="23"/>
      <c r="BB39" s="23"/>
      <c r="BC39" s="23"/>
      <c r="BD39" s="23"/>
      <c r="BE39" s="23"/>
      <c r="BF39" s="23"/>
      <c r="BG39" s="21" t="str">
        <f t="shared" ref="BG39:BG40" si="119">CONCATENATE("description: """,F39,"""", ", ", "note: """,E39,"""",", ","group: """, B39, """",", ","minValue: ", S39,", ","maxValue: ", T39,", ","step: ", U39,", ","units: """, R39, """",", ","defaultValue: ", X39,", ","eventRegistration: ", Y39,)</f>
        <v>description: "Температура ЦП &gt;&gt;", note: "Температура ЦП выше допустимой", group: "status", minValue: null, maxValue: null, step: null, units: "null", defaultValue: null, eventRegistration: 2</v>
      </c>
    </row>
    <row r="40" spans="1:60" s="27" customFormat="1" ht="15.75" x14ac:dyDescent="0.25">
      <c r="A40" s="22"/>
      <c r="B40" s="42" t="s">
        <v>83</v>
      </c>
      <c r="C40" s="23"/>
      <c r="D40" s="30" t="s">
        <v>87</v>
      </c>
      <c r="E40" s="20" t="s">
        <v>212</v>
      </c>
      <c r="F40" s="20" t="s">
        <v>213</v>
      </c>
      <c r="G40" s="20" t="s">
        <v>213</v>
      </c>
      <c r="H40" s="9"/>
      <c r="I40" s="20">
        <f t="shared" si="116"/>
        <v>16</v>
      </c>
      <c r="J40" s="20" t="str">
        <f t="shared" si="117"/>
        <v>Температура ЦП &gt;</v>
      </c>
      <c r="K40" s="24" t="s">
        <v>67</v>
      </c>
      <c r="L40" s="38" t="s">
        <v>54</v>
      </c>
      <c r="M40" s="25" t="s">
        <v>51</v>
      </c>
      <c r="N40" s="25" t="s">
        <v>52</v>
      </c>
      <c r="O40" s="25"/>
      <c r="P40" s="18"/>
      <c r="Q40" s="18"/>
      <c r="R40" s="25" t="s">
        <v>53</v>
      </c>
      <c r="S40" s="25" t="s">
        <v>53</v>
      </c>
      <c r="T40" s="25" t="s">
        <v>53</v>
      </c>
      <c r="U40" s="25" t="s">
        <v>53</v>
      </c>
      <c r="V40" s="23"/>
      <c r="W40" s="23"/>
      <c r="X40" s="25" t="s">
        <v>53</v>
      </c>
      <c r="Y40" s="25">
        <v>2</v>
      </c>
      <c r="Z40" s="23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37" t="s">
        <v>70</v>
      </c>
      <c r="AJ40" s="26" t="s">
        <v>68</v>
      </c>
      <c r="AK40" s="26" t="s">
        <v>58</v>
      </c>
      <c r="AL40" s="26" t="s">
        <v>57</v>
      </c>
      <c r="AM40" s="26" t="s">
        <v>79</v>
      </c>
      <c r="AN40" s="26"/>
      <c r="AO40" s="26" t="s">
        <v>56</v>
      </c>
      <c r="AP40" s="26" t="str">
        <f t="shared" si="118"/>
        <v>ARCPTOC1.Op.general</v>
      </c>
      <c r="AQ40" s="26" t="s">
        <v>55</v>
      </c>
      <c r="AR40" s="23">
        <v>0</v>
      </c>
      <c r="AS40" s="23">
        <v>1</v>
      </c>
      <c r="AT40" s="23">
        <v>0</v>
      </c>
      <c r="AU40" s="23">
        <v>1</v>
      </c>
      <c r="AV40" s="23">
        <v>1</v>
      </c>
      <c r="AW40" s="23">
        <v>1</v>
      </c>
      <c r="AX40" s="23">
        <v>1</v>
      </c>
      <c r="AY40" s="35"/>
      <c r="AZ40" s="23"/>
      <c r="BA40" s="23"/>
      <c r="BB40" s="23"/>
      <c r="BC40" s="23"/>
      <c r="BD40" s="23"/>
      <c r="BE40" s="23"/>
      <c r="BF40" s="23"/>
      <c r="BG40" s="21" t="str">
        <f t="shared" si="119"/>
        <v>description: "Температура ЦП &gt;", note: "Температура ЦП выше нормы", group: "status", minValue: null, maxValue: null, step: null, units: "null", defaultValue: null, eventRegistration: 2</v>
      </c>
    </row>
    <row r="41" spans="1:60" s="27" customFormat="1" ht="15.75" x14ac:dyDescent="0.25">
      <c r="A41" s="22"/>
      <c r="B41" s="42" t="s">
        <v>83</v>
      </c>
      <c r="C41" s="23"/>
      <c r="D41" s="30" t="s">
        <v>87</v>
      </c>
      <c r="E41" s="20" t="s">
        <v>214</v>
      </c>
      <c r="F41" s="20" t="s">
        <v>215</v>
      </c>
      <c r="G41" s="20" t="s">
        <v>215</v>
      </c>
      <c r="H41" s="9"/>
      <c r="I41" s="20">
        <f t="shared" ref="I41" si="120">LEN(F41)</f>
        <v>16</v>
      </c>
      <c r="J41" s="20" t="str">
        <f t="shared" ref="J41" si="121">IF(LEN(F41)&lt;=$J$1,F41,"")</f>
        <v>Температура ЦП &lt;</v>
      </c>
      <c r="K41" s="24" t="s">
        <v>67</v>
      </c>
      <c r="L41" s="38" t="s">
        <v>54</v>
      </c>
      <c r="M41" s="25" t="s">
        <v>51</v>
      </c>
      <c r="N41" s="25" t="s">
        <v>52</v>
      </c>
      <c r="O41" s="25"/>
      <c r="P41" s="18"/>
      <c r="Q41" s="18"/>
      <c r="R41" s="25" t="s">
        <v>53</v>
      </c>
      <c r="S41" s="25" t="s">
        <v>53</v>
      </c>
      <c r="T41" s="25" t="s">
        <v>53</v>
      </c>
      <c r="U41" s="25" t="s">
        <v>53</v>
      </c>
      <c r="V41" s="23"/>
      <c r="W41" s="23"/>
      <c r="X41" s="25" t="s">
        <v>53</v>
      </c>
      <c r="Y41" s="25">
        <v>2</v>
      </c>
      <c r="Z41" s="23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37" t="s">
        <v>70</v>
      </c>
      <c r="AJ41" s="26" t="s">
        <v>68</v>
      </c>
      <c r="AK41" s="26" t="s">
        <v>58</v>
      </c>
      <c r="AL41" s="26" t="s">
        <v>57</v>
      </c>
      <c r="AM41" s="26" t="s">
        <v>79</v>
      </c>
      <c r="AN41" s="26"/>
      <c r="AO41" s="26" t="s">
        <v>56</v>
      </c>
      <c r="AP41" s="26" t="str">
        <f t="shared" ref="AP41" si="122">CONCATENATE(AJ41, ".", AL41)</f>
        <v>ARCPTOC1.Op.general</v>
      </c>
      <c r="AQ41" s="26" t="s">
        <v>55</v>
      </c>
      <c r="AR41" s="23">
        <v>0</v>
      </c>
      <c r="AS41" s="23">
        <v>1</v>
      </c>
      <c r="AT41" s="23">
        <v>0</v>
      </c>
      <c r="AU41" s="23">
        <v>1</v>
      </c>
      <c r="AV41" s="23">
        <v>1</v>
      </c>
      <c r="AW41" s="23">
        <v>1</v>
      </c>
      <c r="AX41" s="23">
        <v>1</v>
      </c>
      <c r="AY41" s="35"/>
      <c r="AZ41" s="23"/>
      <c r="BA41" s="23"/>
      <c r="BB41" s="23"/>
      <c r="BC41" s="23"/>
      <c r="BD41" s="23"/>
      <c r="BE41" s="23"/>
      <c r="BF41" s="23"/>
      <c r="BG41" s="21" t="str">
        <f t="shared" ref="BG41" si="123">CONCATENATE("description: """,F41,"""", ", ", "note: """,E41,"""",", ","group: """, B41, """",", ","minValue: ", S41,", ","maxValue: ", T41,", ","step: ", U41,", ","units: """, R41, """",", ","defaultValue: ", X41,", ","eventRegistration: ", Y41,)</f>
        <v>description: "Температура ЦП &lt;", note: "Температура ЦП ниже нормы", group: "status", minValue: null, maxValue: null, step: null, units: "null", defaultValue: null, eventRegistration: 2</v>
      </c>
    </row>
    <row r="42" spans="1:60" s="27" customFormat="1" ht="31.5" x14ac:dyDescent="0.25">
      <c r="A42" s="22"/>
      <c r="B42" s="42" t="s">
        <v>83</v>
      </c>
      <c r="C42" s="23"/>
      <c r="D42" s="30" t="s">
        <v>87</v>
      </c>
      <c r="E42" s="20" t="s">
        <v>216</v>
      </c>
      <c r="F42" s="20" t="s">
        <v>217</v>
      </c>
      <c r="G42" s="20" t="s">
        <v>217</v>
      </c>
      <c r="H42" s="9"/>
      <c r="I42" s="20">
        <f t="shared" ref="I42:I43" si="124">LEN(F42)</f>
        <v>11</v>
      </c>
      <c r="J42" s="20" t="str">
        <f t="shared" ref="J42:J43" si="125">IF(LEN(F42)&lt;=$J$1,F42,"")</f>
        <v>Сброс часов</v>
      </c>
      <c r="K42" s="24" t="s">
        <v>67</v>
      </c>
      <c r="L42" s="38" t="s">
        <v>54</v>
      </c>
      <c r="M42" s="25" t="s">
        <v>51</v>
      </c>
      <c r="N42" s="25" t="s">
        <v>52</v>
      </c>
      <c r="O42" s="25"/>
      <c r="P42" s="18"/>
      <c r="Q42" s="18"/>
      <c r="R42" s="25" t="s">
        <v>53</v>
      </c>
      <c r="S42" s="25" t="s">
        <v>53</v>
      </c>
      <c r="T42" s="25" t="s">
        <v>53</v>
      </c>
      <c r="U42" s="25" t="s">
        <v>53</v>
      </c>
      <c r="V42" s="23"/>
      <c r="W42" s="23"/>
      <c r="X42" s="25" t="s">
        <v>53</v>
      </c>
      <c r="Y42" s="25">
        <v>2</v>
      </c>
      <c r="Z42" s="23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37" t="s">
        <v>70</v>
      </c>
      <c r="AJ42" s="26" t="s">
        <v>68</v>
      </c>
      <c r="AK42" s="26" t="s">
        <v>58</v>
      </c>
      <c r="AL42" s="26" t="s">
        <v>57</v>
      </c>
      <c r="AM42" s="26" t="s">
        <v>79</v>
      </c>
      <c r="AN42" s="26"/>
      <c r="AO42" s="26" t="s">
        <v>56</v>
      </c>
      <c r="AP42" s="26" t="str">
        <f t="shared" ref="AP42:AP43" si="126">CONCATENATE(AJ42, ".", AL42)</f>
        <v>ARCPTOC1.Op.general</v>
      </c>
      <c r="AQ42" s="26" t="s">
        <v>55</v>
      </c>
      <c r="AR42" s="23">
        <v>0</v>
      </c>
      <c r="AS42" s="23">
        <v>1</v>
      </c>
      <c r="AT42" s="23">
        <v>0</v>
      </c>
      <c r="AU42" s="23">
        <v>1</v>
      </c>
      <c r="AV42" s="23">
        <v>1</v>
      </c>
      <c r="AW42" s="23">
        <v>1</v>
      </c>
      <c r="AX42" s="23">
        <v>1</v>
      </c>
      <c r="AY42" s="35"/>
      <c r="AZ42" s="23"/>
      <c r="BA42" s="23"/>
      <c r="BB42" s="23"/>
      <c r="BC42" s="23"/>
      <c r="BD42" s="23"/>
      <c r="BE42" s="23"/>
      <c r="BF42" s="23"/>
      <c r="BG42" s="21" t="str">
        <f t="shared" ref="BG42:BG43" si="127">CONCATENATE("description: """,F42,"""", ", ", "note: """,E42,"""",", ","group: """, B42, """",", ","minValue: ", S42,", ","maxValue: ", T42,", ","step: ", U42,", ","units: """, R42, """",", ","defaultValue: ", X42,", ","eventRegistration: ", Y42,)</f>
        <v>description: "Сброс часов", note: "Сброс встроенных часов или памяти вследствии перезагрузки", group: "status", minValue: null, maxValue: null, step: null, units: "null", defaultValue: null, eventRegistration: 2</v>
      </c>
    </row>
    <row r="43" spans="1:60" s="27" customFormat="1" ht="15.75" x14ac:dyDescent="0.25">
      <c r="A43" s="22"/>
      <c r="B43" s="42" t="s">
        <v>83</v>
      </c>
      <c r="C43" s="23"/>
      <c r="D43" s="30" t="s">
        <v>87</v>
      </c>
      <c r="E43" s="20" t="s">
        <v>218</v>
      </c>
      <c r="F43" s="20" t="s">
        <v>219</v>
      </c>
      <c r="G43" s="20" t="s">
        <v>219</v>
      </c>
      <c r="H43" s="9"/>
      <c r="I43" s="20">
        <f t="shared" si="124"/>
        <v>21</v>
      </c>
      <c r="J43" s="20" t="str">
        <f t="shared" si="125"/>
        <v/>
      </c>
      <c r="K43" s="24" t="s">
        <v>67</v>
      </c>
      <c r="L43" s="38" t="s">
        <v>54</v>
      </c>
      <c r="M43" s="25" t="s">
        <v>51</v>
      </c>
      <c r="N43" s="25" t="s">
        <v>52</v>
      </c>
      <c r="O43" s="25"/>
      <c r="P43" s="18"/>
      <c r="Q43" s="18"/>
      <c r="R43" s="25" t="s">
        <v>53</v>
      </c>
      <c r="S43" s="25" t="s">
        <v>53</v>
      </c>
      <c r="T43" s="25" t="s">
        <v>53</v>
      </c>
      <c r="U43" s="25" t="s">
        <v>53</v>
      </c>
      <c r="V43" s="23"/>
      <c r="W43" s="23"/>
      <c r="X43" s="25" t="s">
        <v>53</v>
      </c>
      <c r="Y43" s="25">
        <v>2</v>
      </c>
      <c r="Z43" s="23"/>
      <c r="AA43" s="19">
        <v>0</v>
      </c>
      <c r="AB43" s="19"/>
      <c r="AC43" s="19"/>
      <c r="AD43" s="19"/>
      <c r="AE43" s="19"/>
      <c r="AF43" s="19">
        <v>0</v>
      </c>
      <c r="AG43" s="19">
        <v>0</v>
      </c>
      <c r="AH43" s="19">
        <v>0</v>
      </c>
      <c r="AI43" s="37" t="s">
        <v>70</v>
      </c>
      <c r="AJ43" s="26" t="s">
        <v>68</v>
      </c>
      <c r="AK43" s="26" t="s">
        <v>58</v>
      </c>
      <c r="AL43" s="26" t="s">
        <v>57</v>
      </c>
      <c r="AM43" s="26" t="s">
        <v>79</v>
      </c>
      <c r="AN43" s="26"/>
      <c r="AO43" s="26" t="s">
        <v>56</v>
      </c>
      <c r="AP43" s="26" t="str">
        <f t="shared" si="126"/>
        <v>ARCPTOC1.Op.general</v>
      </c>
      <c r="AQ43" s="26" t="s">
        <v>55</v>
      </c>
      <c r="AR43" s="23">
        <v>0</v>
      </c>
      <c r="AS43" s="23">
        <v>1</v>
      </c>
      <c r="AT43" s="23">
        <v>0</v>
      </c>
      <c r="AU43" s="23">
        <v>1</v>
      </c>
      <c r="AV43" s="23">
        <v>1</v>
      </c>
      <c r="AW43" s="23">
        <v>1</v>
      </c>
      <c r="AX43" s="23">
        <v>1</v>
      </c>
      <c r="AY43" s="35"/>
      <c r="AZ43" s="23"/>
      <c r="BA43" s="23"/>
      <c r="BB43" s="23"/>
      <c r="BC43" s="23"/>
      <c r="BD43" s="23"/>
      <c r="BE43" s="23"/>
      <c r="BF43" s="23"/>
      <c r="BG43" s="21" t="str">
        <f t="shared" si="127"/>
        <v>description: "Неисправность архивов", note: "Неисправность памяти архивов (flash-память)", group: "status", minValue: null, maxValue: null, step: null, units: "null", defaultValue: null, eventRegistration: 2</v>
      </c>
    </row>
    <row r="44" spans="1:60" s="27" customFormat="1" ht="15.75" x14ac:dyDescent="0.25">
      <c r="A44" s="22"/>
      <c r="B44" s="42" t="s">
        <v>83</v>
      </c>
      <c r="C44" s="23"/>
      <c r="D44" s="30" t="s">
        <v>87</v>
      </c>
      <c r="E44" s="20" t="s">
        <v>220</v>
      </c>
      <c r="F44" s="20" t="s">
        <v>221</v>
      </c>
      <c r="G44" s="20" t="s">
        <v>221</v>
      </c>
      <c r="H44" s="9"/>
      <c r="I44" s="20">
        <f t="shared" ref="I44" si="128">LEN(F44)</f>
        <v>15</v>
      </c>
      <c r="J44" s="20" t="str">
        <f t="shared" ref="J44" si="129">IF(LEN(F44)&lt;=$J$1,F44,"")</f>
        <v>Перезагрузка ПО</v>
      </c>
      <c r="K44" s="24" t="s">
        <v>67</v>
      </c>
      <c r="L44" s="38" t="s">
        <v>54</v>
      </c>
      <c r="M44" s="25" t="s">
        <v>51</v>
      </c>
      <c r="N44" s="25" t="s">
        <v>52</v>
      </c>
      <c r="O44" s="25"/>
      <c r="P44" s="18"/>
      <c r="Q44" s="18"/>
      <c r="R44" s="25" t="s">
        <v>53</v>
      </c>
      <c r="S44" s="25" t="s">
        <v>53</v>
      </c>
      <c r="T44" s="25" t="s">
        <v>53</v>
      </c>
      <c r="U44" s="25" t="s">
        <v>53</v>
      </c>
      <c r="V44" s="23"/>
      <c r="W44" s="23"/>
      <c r="X44" s="25" t="s">
        <v>53</v>
      </c>
      <c r="Y44" s="25">
        <v>2</v>
      </c>
      <c r="Z44" s="23"/>
      <c r="AA44" s="19">
        <v>0</v>
      </c>
      <c r="AB44" s="19"/>
      <c r="AC44" s="19"/>
      <c r="AD44" s="19"/>
      <c r="AE44" s="19"/>
      <c r="AF44" s="19">
        <v>0</v>
      </c>
      <c r="AG44" s="19">
        <v>0</v>
      </c>
      <c r="AH44" s="19">
        <v>0</v>
      </c>
      <c r="AI44" s="37" t="s">
        <v>70</v>
      </c>
      <c r="AJ44" s="26" t="s">
        <v>68</v>
      </c>
      <c r="AK44" s="26" t="s">
        <v>58</v>
      </c>
      <c r="AL44" s="26" t="s">
        <v>57</v>
      </c>
      <c r="AM44" s="26" t="s">
        <v>79</v>
      </c>
      <c r="AN44" s="26"/>
      <c r="AO44" s="26" t="s">
        <v>56</v>
      </c>
      <c r="AP44" s="26" t="str">
        <f t="shared" ref="AP44" si="130">CONCATENATE(AJ44, ".", AL44)</f>
        <v>ARCPTOC1.Op.general</v>
      </c>
      <c r="AQ44" s="26" t="s">
        <v>55</v>
      </c>
      <c r="AR44" s="23">
        <v>0</v>
      </c>
      <c r="AS44" s="23">
        <v>1</v>
      </c>
      <c r="AT44" s="23">
        <v>0</v>
      </c>
      <c r="AU44" s="23">
        <v>1</v>
      </c>
      <c r="AV44" s="23">
        <v>1</v>
      </c>
      <c r="AW44" s="23">
        <v>1</v>
      </c>
      <c r="AX44" s="23">
        <v>1</v>
      </c>
      <c r="AY44" s="35"/>
      <c r="AZ44" s="23"/>
      <c r="BA44" s="23"/>
      <c r="BB44" s="23"/>
      <c r="BC44" s="23"/>
      <c r="BD44" s="23"/>
      <c r="BE44" s="23"/>
      <c r="BF44" s="23"/>
      <c r="BG44" s="21" t="str">
        <f t="shared" ref="BG44" si="131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"Перезагрузка ПО", note: "Программная перезагрузка", group: "status", minValue: null, maxValue: null, step: null, units: "null", defaultValue: null, eventRegistration: 2</v>
      </c>
    </row>
    <row r="45" spans="1:60" s="27" customFormat="1" ht="15.75" x14ac:dyDescent="0.25">
      <c r="A45" s="22"/>
      <c r="B45" s="42" t="s">
        <v>83</v>
      </c>
      <c r="C45" s="23"/>
      <c r="D45" s="30" t="s">
        <v>87</v>
      </c>
      <c r="E45" s="20" t="s">
        <v>222</v>
      </c>
      <c r="F45" s="20" t="s">
        <v>223</v>
      </c>
      <c r="G45" s="20" t="s">
        <v>223</v>
      </c>
      <c r="H45" s="9"/>
      <c r="I45" s="20">
        <f t="shared" ref="I45" si="132">LEN(F45)</f>
        <v>21</v>
      </c>
      <c r="J45" s="20" t="str">
        <f t="shared" ref="J45" si="133">IF(LEN(F45)&lt;=$J$1,F45,"")</f>
        <v/>
      </c>
      <c r="K45" s="24" t="s">
        <v>67</v>
      </c>
      <c r="L45" s="38" t="s">
        <v>54</v>
      </c>
      <c r="M45" s="25" t="s">
        <v>51</v>
      </c>
      <c r="N45" s="25" t="s">
        <v>52</v>
      </c>
      <c r="O45" s="25"/>
      <c r="P45" s="18"/>
      <c r="Q45" s="18"/>
      <c r="R45" s="25" t="s">
        <v>53</v>
      </c>
      <c r="S45" s="25" t="s">
        <v>53</v>
      </c>
      <c r="T45" s="25" t="s">
        <v>53</v>
      </c>
      <c r="U45" s="25" t="s">
        <v>53</v>
      </c>
      <c r="V45" s="23"/>
      <c r="W45" s="23"/>
      <c r="X45" s="25" t="s">
        <v>53</v>
      </c>
      <c r="Y45" s="25">
        <v>2</v>
      </c>
      <c r="Z45" s="23"/>
      <c r="AA45" s="19">
        <v>0</v>
      </c>
      <c r="AB45" s="19"/>
      <c r="AC45" s="19"/>
      <c r="AD45" s="19"/>
      <c r="AE45" s="19"/>
      <c r="AF45" s="19">
        <v>0</v>
      </c>
      <c r="AG45" s="19">
        <v>0</v>
      </c>
      <c r="AH45" s="19">
        <v>0</v>
      </c>
      <c r="AI45" s="37" t="s">
        <v>70</v>
      </c>
      <c r="AJ45" s="26" t="s">
        <v>68</v>
      </c>
      <c r="AK45" s="26" t="s">
        <v>58</v>
      </c>
      <c r="AL45" s="26" t="s">
        <v>57</v>
      </c>
      <c r="AM45" s="26" t="s">
        <v>79</v>
      </c>
      <c r="AN45" s="26"/>
      <c r="AO45" s="26" t="s">
        <v>56</v>
      </c>
      <c r="AP45" s="26" t="str">
        <f t="shared" ref="AP45" si="134">CONCATENATE(AJ45, ".", AL45)</f>
        <v>ARCPTOC1.Op.general</v>
      </c>
      <c r="AQ45" s="26" t="s">
        <v>55</v>
      </c>
      <c r="AR45" s="23">
        <v>0</v>
      </c>
      <c r="AS45" s="23">
        <v>1</v>
      </c>
      <c r="AT45" s="23">
        <v>0</v>
      </c>
      <c r="AU45" s="23">
        <v>1</v>
      </c>
      <c r="AV45" s="23">
        <v>1</v>
      </c>
      <c r="AW45" s="23">
        <v>1</v>
      </c>
      <c r="AX45" s="23">
        <v>1</v>
      </c>
      <c r="AY45" s="35"/>
      <c r="AZ45" s="23"/>
      <c r="BA45" s="23"/>
      <c r="BB45" s="23"/>
      <c r="BC45" s="23"/>
      <c r="BD45" s="23"/>
      <c r="BE45" s="23"/>
      <c r="BF45" s="23"/>
      <c r="BG45" s="21" t="str">
        <f t="shared" ref="BG45" si="135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"Перезапуск по питанию", note: "Перезагрузка в результате потери питания", group: "status", minValue: null, maxValue: null, step: null, units: "null", defaultValue: null, eventRegistration: 2</v>
      </c>
    </row>
    <row r="46" spans="1:60" s="27" customFormat="1" ht="15.75" x14ac:dyDescent="0.25">
      <c r="A46" s="22"/>
      <c r="B46" s="42" t="s">
        <v>83</v>
      </c>
      <c r="C46" s="23"/>
      <c r="D46" s="30" t="s">
        <v>87</v>
      </c>
      <c r="E46" s="20" t="s">
        <v>224</v>
      </c>
      <c r="F46" s="20" t="s">
        <v>225</v>
      </c>
      <c r="G46" s="20" t="s">
        <v>225</v>
      </c>
      <c r="H46" s="9"/>
      <c r="I46" s="20">
        <f t="shared" ref="I46" si="136">LEN(F46)</f>
        <v>24</v>
      </c>
      <c r="J46" s="20" t="str">
        <f t="shared" ref="J46" si="137">IF(LEN(F46)&lt;=$J$1,F46,"")</f>
        <v/>
      </c>
      <c r="K46" s="24" t="s">
        <v>67</v>
      </c>
      <c r="L46" s="38" t="s">
        <v>54</v>
      </c>
      <c r="M46" s="25" t="s">
        <v>51</v>
      </c>
      <c r="N46" s="25" t="s">
        <v>52</v>
      </c>
      <c r="O46" s="25"/>
      <c r="P46" s="18"/>
      <c r="Q46" s="18"/>
      <c r="R46" s="25" t="s">
        <v>53</v>
      </c>
      <c r="S46" s="25" t="s">
        <v>53</v>
      </c>
      <c r="T46" s="25" t="s">
        <v>53</v>
      </c>
      <c r="U46" s="25" t="s">
        <v>53</v>
      </c>
      <c r="V46" s="23"/>
      <c r="W46" s="23"/>
      <c r="X46" s="25" t="s">
        <v>53</v>
      </c>
      <c r="Y46" s="25">
        <v>2</v>
      </c>
      <c r="Z46" s="23"/>
      <c r="AA46" s="19">
        <v>0</v>
      </c>
      <c r="AB46" s="19"/>
      <c r="AC46" s="19"/>
      <c r="AD46" s="19"/>
      <c r="AE46" s="19"/>
      <c r="AF46" s="19">
        <v>0</v>
      </c>
      <c r="AG46" s="19">
        <v>0</v>
      </c>
      <c r="AH46" s="19">
        <v>0</v>
      </c>
      <c r="AI46" s="37" t="s">
        <v>70</v>
      </c>
      <c r="AJ46" s="26" t="s">
        <v>68</v>
      </c>
      <c r="AK46" s="26" t="s">
        <v>58</v>
      </c>
      <c r="AL46" s="26" t="s">
        <v>57</v>
      </c>
      <c r="AM46" s="26" t="s">
        <v>79</v>
      </c>
      <c r="AN46" s="26"/>
      <c r="AO46" s="26" t="s">
        <v>56</v>
      </c>
      <c r="AP46" s="26" t="str">
        <f t="shared" ref="AP46" si="138">CONCATENATE(AJ46, ".", AL46)</f>
        <v>ARCPTOC1.Op.general</v>
      </c>
      <c r="AQ46" s="26" t="s">
        <v>55</v>
      </c>
      <c r="AR46" s="23">
        <v>0</v>
      </c>
      <c r="AS46" s="23">
        <v>1</v>
      </c>
      <c r="AT46" s="23">
        <v>0</v>
      </c>
      <c r="AU46" s="23">
        <v>1</v>
      </c>
      <c r="AV46" s="23">
        <v>1</v>
      </c>
      <c r="AW46" s="23">
        <v>1</v>
      </c>
      <c r="AX46" s="23">
        <v>1</v>
      </c>
      <c r="AY46" s="35"/>
      <c r="AZ46" s="23"/>
      <c r="BA46" s="23"/>
      <c r="BB46" s="23"/>
      <c r="BC46" s="23"/>
      <c r="BD46" s="23"/>
      <c r="BE46" s="23"/>
      <c r="BF46" s="23"/>
      <c r="BG46" s="21" t="str">
        <f t="shared" ref="BG46" si="139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"Перезапуск по ошибкам ПО", note: "Перезагрузка при ошибке ПО", group: "status", minValue: null, maxValue: null, step: null, units: "null", defaultValue: null, eventRegistration: 2</v>
      </c>
    </row>
    <row r="47" spans="1:60" s="27" customFormat="1" ht="15.75" x14ac:dyDescent="0.25">
      <c r="A47" s="22"/>
      <c r="B47" s="42" t="s">
        <v>83</v>
      </c>
      <c r="C47" s="23"/>
      <c r="D47" s="30" t="s">
        <v>87</v>
      </c>
      <c r="E47" s="20" t="s">
        <v>226</v>
      </c>
      <c r="F47" s="20" t="s">
        <v>226</v>
      </c>
      <c r="G47" s="20" t="s">
        <v>226</v>
      </c>
      <c r="H47" s="9"/>
      <c r="I47" s="20">
        <f t="shared" ref="I47" si="140">LEN(F47)</f>
        <v>17</v>
      </c>
      <c r="J47" s="20" t="str">
        <f t="shared" ref="J47" si="141">IF(LEN(F47)&lt;=$J$1,F47,"")</f>
        <v>Изменение уставок</v>
      </c>
      <c r="K47" s="24" t="s">
        <v>67</v>
      </c>
      <c r="L47" s="38" t="s">
        <v>54</v>
      </c>
      <c r="M47" s="25" t="s">
        <v>51</v>
      </c>
      <c r="N47" s="25" t="s">
        <v>52</v>
      </c>
      <c r="O47" s="25"/>
      <c r="P47" s="18"/>
      <c r="Q47" s="18"/>
      <c r="R47" s="25" t="s">
        <v>53</v>
      </c>
      <c r="S47" s="25" t="s">
        <v>53</v>
      </c>
      <c r="T47" s="25" t="s">
        <v>53</v>
      </c>
      <c r="U47" s="25" t="s">
        <v>53</v>
      </c>
      <c r="V47" s="23"/>
      <c r="W47" s="23"/>
      <c r="X47" s="25" t="s">
        <v>53</v>
      </c>
      <c r="Y47" s="25">
        <v>2</v>
      </c>
      <c r="Z47" s="23"/>
      <c r="AA47" s="19">
        <v>0</v>
      </c>
      <c r="AB47" s="19"/>
      <c r="AC47" s="19"/>
      <c r="AD47" s="19"/>
      <c r="AE47" s="19"/>
      <c r="AF47" s="19">
        <v>0</v>
      </c>
      <c r="AG47" s="19">
        <v>0</v>
      </c>
      <c r="AH47" s="19">
        <v>0</v>
      </c>
      <c r="AI47" s="37" t="s">
        <v>70</v>
      </c>
      <c r="AJ47" s="26" t="s">
        <v>68</v>
      </c>
      <c r="AK47" s="26" t="s">
        <v>58</v>
      </c>
      <c r="AL47" s="26" t="s">
        <v>57</v>
      </c>
      <c r="AM47" s="26" t="s">
        <v>79</v>
      </c>
      <c r="AN47" s="26"/>
      <c r="AO47" s="26" t="s">
        <v>56</v>
      </c>
      <c r="AP47" s="26" t="str">
        <f t="shared" ref="AP47" si="142">CONCATENATE(AJ47, ".", AL47)</f>
        <v>ARCPTOC1.Op.general</v>
      </c>
      <c r="AQ47" s="26" t="s">
        <v>55</v>
      </c>
      <c r="AR47" s="23">
        <v>0</v>
      </c>
      <c r="AS47" s="23">
        <v>1</v>
      </c>
      <c r="AT47" s="23">
        <v>0</v>
      </c>
      <c r="AU47" s="23">
        <v>1</v>
      </c>
      <c r="AV47" s="23">
        <v>1</v>
      </c>
      <c r="AW47" s="23">
        <v>1</v>
      </c>
      <c r="AX47" s="23">
        <v>1</v>
      </c>
      <c r="AY47" s="35"/>
      <c r="AZ47" s="23"/>
      <c r="BA47" s="23"/>
      <c r="BB47" s="23"/>
      <c r="BC47" s="23"/>
      <c r="BD47" s="23"/>
      <c r="BE47" s="23"/>
      <c r="BF47" s="23"/>
      <c r="BG47" s="21" t="str">
        <f t="shared" ref="BG47" si="143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"Изменение уставок", note: "Изменение уставок", group: "status", minValue: null, maxValue: null, step: null, units: "null", defaultValue: null, eventRegistration: 2</v>
      </c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70" zoomScaleNormal="70" workbookViewId="0">
      <selection activeCell="G27" sqref="G2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7.42578125" style="1" customWidth="1"/>
    <col min="3" max="3" width="3.5703125" style="1" customWidth="1"/>
    <col min="4" max="4" width="34" style="1" customWidth="1"/>
    <col min="5" max="5" width="51.28515625" style="2" customWidth="1"/>
    <col min="6" max="6" width="26.85546875" style="2" customWidth="1" outlineLevel="1"/>
    <col min="7" max="7" width="25" style="2" customWidth="1" outlineLevel="1"/>
    <col min="8" max="8" width="30.7109375" style="2" customWidth="1" outlineLevel="1"/>
    <col min="9" max="9" width="10" style="2" customWidth="1"/>
    <col min="10" max="10" width="19" style="2" customWidth="1"/>
    <col min="11" max="11" width="7.5703125" style="2" customWidth="1"/>
    <col min="12" max="12" width="11.42578125" style="2" customWidth="1"/>
    <col min="13" max="13" width="4.28515625" style="2" customWidth="1" outlineLevel="1"/>
    <col min="14" max="14" width="4.140625" style="2" customWidth="1" outlineLevel="1"/>
    <col min="15" max="15" width="5.140625" style="2" customWidth="1" outlineLevel="1"/>
    <col min="16" max="16" width="6.42578125" style="2" customWidth="1" outlineLevel="1"/>
    <col min="17" max="17" width="3.425781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3.140625" style="4" customWidth="1" outlineLevel="1"/>
    <col min="23" max="23" width="2.42578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customHeight="1" x14ac:dyDescent="0.25">
      <c r="A3" s="22"/>
      <c r="B3" s="22" t="s">
        <v>59</v>
      </c>
      <c r="C3" s="25"/>
      <c r="D3" s="30" t="s">
        <v>90</v>
      </c>
      <c r="E3" s="20" t="s">
        <v>101</v>
      </c>
      <c r="F3" s="20" t="s">
        <v>101</v>
      </c>
      <c r="G3" s="20" t="s">
        <v>101</v>
      </c>
      <c r="H3" s="20"/>
      <c r="I3" s="20">
        <f t="shared" ref="I3" si="0">LEN(F3)</f>
        <v>11</v>
      </c>
      <c r="J3" s="20" t="str">
        <f t="shared" ref="J3" si="1">IF(LEN(F3)&lt;=$J$1,F3,"")</f>
        <v>Адрес Mibus</v>
      </c>
      <c r="K3" s="22" t="s">
        <v>92</v>
      </c>
      <c r="L3" s="38" t="s">
        <v>93</v>
      </c>
      <c r="M3" s="25" t="s">
        <v>52</v>
      </c>
      <c r="N3" s="25" t="s">
        <v>52</v>
      </c>
      <c r="O3" s="25"/>
      <c r="P3" s="35">
        <v>2</v>
      </c>
      <c r="Q3" s="35" t="s">
        <v>94</v>
      </c>
      <c r="R3" s="25" t="s">
        <v>53</v>
      </c>
      <c r="S3" s="25">
        <v>0</v>
      </c>
      <c r="T3" s="25">
        <v>254</v>
      </c>
      <c r="U3" s="25">
        <v>1</v>
      </c>
      <c r="V3" s="25"/>
      <c r="W3" s="25"/>
      <c r="X3" s="25">
        <v>1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 t="s">
        <v>96</v>
      </c>
      <c r="AJ3" s="23" t="s">
        <v>97</v>
      </c>
      <c r="AK3" s="23" t="s">
        <v>98</v>
      </c>
      <c r="AL3" s="23" t="s">
        <v>99</v>
      </c>
      <c r="AM3" s="23" t="s">
        <v>93</v>
      </c>
      <c r="AN3" s="23"/>
      <c r="AO3" s="23" t="s">
        <v>100</v>
      </c>
      <c r="AP3" s="26" t="str">
        <f t="shared" ref="AP3" si="2">CONCATENATE(AJ3, ".", AL3)</f>
        <v>GENRBRF1.FailTmms.setVal</v>
      </c>
      <c r="AQ3" s="23" t="s">
        <v>55</v>
      </c>
      <c r="AR3" s="23">
        <v>0</v>
      </c>
      <c r="AS3" s="23">
        <v>0</v>
      </c>
      <c r="AT3" s="23">
        <v>0</v>
      </c>
      <c r="AU3" s="23">
        <v>0</v>
      </c>
      <c r="AV3" s="23">
        <f t="shared" ref="AV3" si="3">BIN2DEC(CONCATENATE(0,0,0,0,AR3,AS3,AT3,AU3))</f>
        <v>0</v>
      </c>
      <c r="AW3" s="23"/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"Адрес Mibus", note: "Адрес Mibus", group: "setting", minValue: 0, maxValue: 254, step: 1, units: "null", defaultValue: 1, eventRegistration: 0</v>
      </c>
    </row>
    <row r="4" spans="1:16379" s="39" customFormat="1" ht="15.75" customHeight="1" x14ac:dyDescent="0.25">
      <c r="A4" s="22"/>
      <c r="B4" s="22" t="s">
        <v>59</v>
      </c>
      <c r="C4" s="25"/>
      <c r="D4" s="30" t="s">
        <v>90</v>
      </c>
      <c r="E4" s="20" t="s">
        <v>102</v>
      </c>
      <c r="F4" s="20" t="s">
        <v>103</v>
      </c>
      <c r="G4" s="20" t="s">
        <v>103</v>
      </c>
      <c r="H4" s="20"/>
      <c r="I4" s="20">
        <f t="shared" ref="I4:I5" si="5">LEN(F4)</f>
        <v>24</v>
      </c>
      <c r="J4" s="20" t="str">
        <f t="shared" ref="J4:J5" si="6">IF(LEN(F4)&lt;=$J$1,F4,"")</f>
        <v/>
      </c>
      <c r="K4" s="22" t="s">
        <v>92</v>
      </c>
      <c r="L4" s="38" t="s">
        <v>93</v>
      </c>
      <c r="M4" s="25" t="s">
        <v>52</v>
      </c>
      <c r="N4" s="25" t="s">
        <v>52</v>
      </c>
      <c r="O4" s="25"/>
      <c r="P4" s="35">
        <v>2</v>
      </c>
      <c r="Q4" s="35" t="s">
        <v>94</v>
      </c>
      <c r="R4" s="25" t="s">
        <v>104</v>
      </c>
      <c r="S4" s="25">
        <v>1</v>
      </c>
      <c r="T4" s="25">
        <v>255</v>
      </c>
      <c r="U4" s="25">
        <v>1</v>
      </c>
      <c r="V4" s="25"/>
      <c r="W4" s="25"/>
      <c r="X4" s="25">
        <v>5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96</v>
      </c>
      <c r="AJ4" s="23" t="s">
        <v>97</v>
      </c>
      <c r="AK4" s="23" t="s">
        <v>98</v>
      </c>
      <c r="AL4" s="23" t="s">
        <v>99</v>
      </c>
      <c r="AM4" s="23" t="s">
        <v>93</v>
      </c>
      <c r="AN4" s="23"/>
      <c r="AO4" s="23" t="s">
        <v>100</v>
      </c>
      <c r="AP4" s="26" t="str">
        <f t="shared" ref="AP4:AP5" si="7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:AV5" si="8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ref="BG4:BG5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"Таймаут отсутствия связи", note: "Выдержка времени идентификации неисправности канала связи", group: "setting", minValue: 1, maxValue: 255, step: 1, units: "с", defaultValue: 5, eventRegistration: 0</v>
      </c>
    </row>
    <row r="5" spans="1:16379" s="39" customFormat="1" ht="15.75" customHeight="1" x14ac:dyDescent="0.25">
      <c r="A5" s="22"/>
      <c r="B5" s="22" t="s">
        <v>59</v>
      </c>
      <c r="C5" s="25"/>
      <c r="D5" s="30" t="s">
        <v>90</v>
      </c>
      <c r="E5" s="20" t="s">
        <v>105</v>
      </c>
      <c r="F5" s="20" t="s">
        <v>106</v>
      </c>
      <c r="G5" s="20" t="s">
        <v>106</v>
      </c>
      <c r="H5" s="20"/>
      <c r="I5" s="20">
        <f t="shared" si="5"/>
        <v>8</v>
      </c>
      <c r="J5" s="20" t="str">
        <f t="shared" si="6"/>
        <v>X1.Режим</v>
      </c>
      <c r="K5" s="22" t="s">
        <v>92</v>
      </c>
      <c r="L5" s="38" t="s">
        <v>93</v>
      </c>
      <c r="M5" s="25" t="s">
        <v>52</v>
      </c>
      <c r="N5" s="25" t="s">
        <v>52</v>
      </c>
      <c r="O5" s="25"/>
      <c r="P5" s="35">
        <v>2</v>
      </c>
      <c r="Q5" s="35" t="s">
        <v>94</v>
      </c>
      <c r="R5" s="25" t="s">
        <v>53</v>
      </c>
      <c r="S5" s="25">
        <v>1</v>
      </c>
      <c r="T5" s="25">
        <v>4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 t="s">
        <v>96</v>
      </c>
      <c r="AJ5" s="23" t="s">
        <v>97</v>
      </c>
      <c r="AK5" s="23" t="s">
        <v>98</v>
      </c>
      <c r="AL5" s="23" t="s">
        <v>99</v>
      </c>
      <c r="AM5" s="23" t="s">
        <v>93</v>
      </c>
      <c r="AN5" s="23"/>
      <c r="AO5" s="23" t="s">
        <v>100</v>
      </c>
      <c r="AP5" s="26" t="str">
        <f t="shared" si="7"/>
        <v>GENRBRF1.FailTmms.setVal</v>
      </c>
      <c r="AQ5" s="23" t="s">
        <v>55</v>
      </c>
      <c r="AR5" s="23">
        <v>0</v>
      </c>
      <c r="AS5" s="23">
        <v>0</v>
      </c>
      <c r="AT5" s="23">
        <v>0</v>
      </c>
      <c r="AU5" s="23">
        <v>0</v>
      </c>
      <c r="AV5" s="23">
        <f t="shared" si="8"/>
        <v>0</v>
      </c>
      <c r="AW5" s="23"/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9"/>
        <v>description: "X1.Режим", note: "Режим работы интерфейса Eth.1", group: "setting", minValue: 1, maxValue: 4, step: 1, units: "null", defaultValue: 0, eventRegistration: 0</v>
      </c>
    </row>
    <row r="6" spans="1:16379" s="39" customFormat="1" ht="15.75" customHeight="1" x14ac:dyDescent="0.25">
      <c r="A6" s="22"/>
      <c r="B6" s="22" t="s">
        <v>59</v>
      </c>
      <c r="C6" s="25"/>
      <c r="D6" s="30" t="s">
        <v>90</v>
      </c>
      <c r="E6" s="20" t="s">
        <v>107</v>
      </c>
      <c r="F6" s="20" t="s">
        <v>108</v>
      </c>
      <c r="G6" s="20" t="s">
        <v>108</v>
      </c>
      <c r="H6" s="20"/>
      <c r="I6" s="20">
        <f t="shared" ref="I6" si="10">LEN(F6)</f>
        <v>8</v>
      </c>
      <c r="J6" s="20" t="str">
        <f t="shared" ref="J6" si="11">IF(LEN(F6)&lt;=$J$1,F6,"")</f>
        <v>X2.Режим</v>
      </c>
      <c r="K6" s="22" t="s">
        <v>92</v>
      </c>
      <c r="L6" s="38" t="s">
        <v>93</v>
      </c>
      <c r="M6" s="25" t="s">
        <v>52</v>
      </c>
      <c r="N6" s="25" t="s">
        <v>52</v>
      </c>
      <c r="O6" s="25"/>
      <c r="P6" s="35">
        <v>2</v>
      </c>
      <c r="Q6" s="35" t="s">
        <v>94</v>
      </c>
      <c r="R6" s="25" t="s">
        <v>53</v>
      </c>
      <c r="S6" s="25">
        <v>1</v>
      </c>
      <c r="T6" s="25">
        <v>4</v>
      </c>
      <c r="U6" s="25">
        <v>1</v>
      </c>
      <c r="V6" s="25"/>
      <c r="W6" s="25"/>
      <c r="X6" s="25">
        <v>0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 t="s">
        <v>96</v>
      </c>
      <c r="AJ6" s="23" t="s">
        <v>97</v>
      </c>
      <c r="AK6" s="23" t="s">
        <v>98</v>
      </c>
      <c r="AL6" s="23" t="s">
        <v>99</v>
      </c>
      <c r="AM6" s="23" t="s">
        <v>93</v>
      </c>
      <c r="AN6" s="23"/>
      <c r="AO6" s="23" t="s">
        <v>100</v>
      </c>
      <c r="AP6" s="26" t="str">
        <f t="shared" ref="AP6" si="12">CONCATENATE(AJ6, ".", AL6)</f>
        <v>GENRBRF1.FailTmms.setVal</v>
      </c>
      <c r="AQ6" s="23" t="s">
        <v>55</v>
      </c>
      <c r="AR6" s="23">
        <v>0</v>
      </c>
      <c r="AS6" s="23">
        <v>0</v>
      </c>
      <c r="AT6" s="23">
        <v>0</v>
      </c>
      <c r="AU6" s="23">
        <v>0</v>
      </c>
      <c r="AV6" s="23">
        <f t="shared" ref="AV6" si="13">BIN2DEC(CONCATENATE(0,0,0,0,AR6,AS6,AT6,AU6))</f>
        <v>0</v>
      </c>
      <c r="AW6" s="23"/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ref="BG6" si="14">CONCATENATE("description: """,F6,"""", ", ", "note: """,E6,"""",", ","group: """, B6, """",", ","minValue: ", S6,", ","maxValue: ", T6,", ","step: ", U6,", ","units: """, R6, """",", ","defaultValue: ", X6,", ","eventRegistration: ", Y6,)</f>
        <v>description: "X2.Режим", note: "Режим работы интерфейса Eth.2", group: "setting", minValue: 1, maxValue: 4, step: 1, units: "null", defaultValue: 0, eventRegistration: 0</v>
      </c>
    </row>
    <row r="7" spans="1:16379" s="39" customFormat="1" ht="15.75" customHeight="1" x14ac:dyDescent="0.25">
      <c r="A7" s="22"/>
      <c r="B7" s="22" t="s">
        <v>59</v>
      </c>
      <c r="C7" s="25"/>
      <c r="D7" s="30" t="s">
        <v>90</v>
      </c>
      <c r="E7" s="20" t="s">
        <v>109</v>
      </c>
      <c r="F7" s="20" t="s">
        <v>110</v>
      </c>
      <c r="G7" s="20" t="s">
        <v>110</v>
      </c>
      <c r="H7" s="20"/>
      <c r="I7" s="20">
        <f t="shared" ref="I7" si="15">LEN(F7)</f>
        <v>8</v>
      </c>
      <c r="J7" s="20" t="str">
        <f t="shared" ref="J7" si="16">IF(LEN(F7)&lt;=$J$1,F7,"")</f>
        <v>X3.Режим</v>
      </c>
      <c r="K7" s="22" t="s">
        <v>92</v>
      </c>
      <c r="L7" s="38" t="s">
        <v>93</v>
      </c>
      <c r="M7" s="25" t="s">
        <v>52</v>
      </c>
      <c r="N7" s="25" t="s">
        <v>52</v>
      </c>
      <c r="O7" s="25"/>
      <c r="P7" s="35">
        <v>2</v>
      </c>
      <c r="Q7" s="35" t="s">
        <v>94</v>
      </c>
      <c r="R7" s="25" t="s">
        <v>53</v>
      </c>
      <c r="S7" s="25">
        <v>1</v>
      </c>
      <c r="T7" s="25">
        <v>2</v>
      </c>
      <c r="U7" s="25">
        <v>1</v>
      </c>
      <c r="V7" s="25"/>
      <c r="W7" s="25"/>
      <c r="X7" s="25">
        <v>1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 t="s">
        <v>96</v>
      </c>
      <c r="AJ7" s="23" t="s">
        <v>97</v>
      </c>
      <c r="AK7" s="23" t="s">
        <v>98</v>
      </c>
      <c r="AL7" s="23" t="s">
        <v>99</v>
      </c>
      <c r="AM7" s="23" t="s">
        <v>93</v>
      </c>
      <c r="AN7" s="23"/>
      <c r="AO7" s="23" t="s">
        <v>100</v>
      </c>
      <c r="AP7" s="26" t="str">
        <f t="shared" ref="AP7" si="17">CONCATENATE(AJ7, ".", AL7)</f>
        <v>GENRBRF1.FailTmms.setVal</v>
      </c>
      <c r="AQ7" s="23" t="s">
        <v>55</v>
      </c>
      <c r="AR7" s="23">
        <v>0</v>
      </c>
      <c r="AS7" s="23">
        <v>0</v>
      </c>
      <c r="AT7" s="23">
        <v>0</v>
      </c>
      <c r="AU7" s="23">
        <v>0</v>
      </c>
      <c r="AV7" s="23">
        <f t="shared" ref="AV7" si="18">BIN2DEC(CONCATENATE(0,0,0,0,AR7,AS7,AT7,AU7))</f>
        <v>0</v>
      </c>
      <c r="AW7" s="23"/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"X3.Режим", note: "Режим работы интерфейса Eth.3", group: "setting", minValue: 1, maxValue: 2, step: 1, units: "null", defaultValue: 1, eventRegistration: 0</v>
      </c>
    </row>
    <row r="8" spans="1:16379" s="39" customFormat="1" ht="15.75" customHeight="1" x14ac:dyDescent="0.25">
      <c r="A8" s="22"/>
      <c r="B8" s="22" t="s">
        <v>59</v>
      </c>
      <c r="C8" s="25"/>
      <c r="D8" s="30" t="s">
        <v>90</v>
      </c>
      <c r="E8" s="20" t="s">
        <v>111</v>
      </c>
      <c r="F8" s="20" t="s">
        <v>112</v>
      </c>
      <c r="G8" s="20" t="s">
        <v>112</v>
      </c>
      <c r="H8" s="20"/>
      <c r="I8" s="20">
        <f t="shared" ref="I8" si="20">LEN(F8)</f>
        <v>8</v>
      </c>
      <c r="J8" s="20" t="str">
        <f t="shared" ref="J8" si="21">IF(LEN(F8)&lt;=$J$1,F8,"")</f>
        <v>X4.Режим</v>
      </c>
      <c r="K8" s="22" t="s">
        <v>92</v>
      </c>
      <c r="L8" s="38" t="s">
        <v>93</v>
      </c>
      <c r="M8" s="25" t="s">
        <v>52</v>
      </c>
      <c r="N8" s="25" t="s">
        <v>52</v>
      </c>
      <c r="O8" s="25"/>
      <c r="P8" s="35">
        <v>2</v>
      </c>
      <c r="Q8" s="35" t="s">
        <v>94</v>
      </c>
      <c r="R8" s="25" t="s">
        <v>53</v>
      </c>
      <c r="S8" s="25">
        <v>1</v>
      </c>
      <c r="T8" s="25">
        <v>2</v>
      </c>
      <c r="U8" s="25">
        <v>1</v>
      </c>
      <c r="V8" s="25"/>
      <c r="W8" s="25"/>
      <c r="X8" s="25">
        <v>1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 t="s">
        <v>96</v>
      </c>
      <c r="AJ8" s="23" t="s">
        <v>97</v>
      </c>
      <c r="AK8" s="23" t="s">
        <v>98</v>
      </c>
      <c r="AL8" s="23" t="s">
        <v>99</v>
      </c>
      <c r="AM8" s="23" t="s">
        <v>93</v>
      </c>
      <c r="AN8" s="23"/>
      <c r="AO8" s="23" t="s">
        <v>100</v>
      </c>
      <c r="AP8" s="26" t="str">
        <f t="shared" ref="AP8" si="22">CONCATENATE(AJ8, ".", AL8)</f>
        <v>GENRBRF1.FailTmms.setVal</v>
      </c>
      <c r="AQ8" s="23" t="s">
        <v>55</v>
      </c>
      <c r="AR8" s="23">
        <v>0</v>
      </c>
      <c r="AS8" s="23">
        <v>0</v>
      </c>
      <c r="AT8" s="23">
        <v>0</v>
      </c>
      <c r="AU8" s="23">
        <v>0</v>
      </c>
      <c r="AV8" s="23">
        <f t="shared" ref="AV8" si="23">BIN2DEC(CONCATENATE(0,0,0,0,AR8,AS8,AT8,AU8))</f>
        <v>0</v>
      </c>
      <c r="AW8" s="23"/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ref="BG8" si="24">CONCATENATE("description: """,F8,"""", ", ", "note: """,E8,"""",", ","group: """, B8, """",", ","minValue: ", S8,", ","maxValue: ", T8,", ","step: ", U8,", ","units: """, R8, """",", ","defaultValue: ", X8,", ","eventRegistration: ", Y8,)</f>
        <v>description: "X4.Режим", note: "Режим работы интерфейса Eth.4", group: "setting", minValue: 1, maxValue: 2, step: 1, units: "null", defaultValue: 1, eventRegistration: 0</v>
      </c>
    </row>
    <row r="9" spans="1:16379" s="39" customFormat="1" ht="15.75" customHeight="1" x14ac:dyDescent="0.25">
      <c r="A9" s="22"/>
      <c r="B9" s="22" t="s">
        <v>59</v>
      </c>
      <c r="C9" s="25"/>
      <c r="D9" s="30" t="s">
        <v>90</v>
      </c>
      <c r="E9" s="20" t="s">
        <v>113</v>
      </c>
      <c r="F9" s="20" t="s">
        <v>114</v>
      </c>
      <c r="G9" s="20" t="s">
        <v>114</v>
      </c>
      <c r="H9" s="20"/>
      <c r="I9" s="20">
        <f t="shared" ref="I9:I10" si="25">LEN(F9)</f>
        <v>5</v>
      </c>
      <c r="J9" s="20" t="str">
        <f t="shared" ref="J9:J10" si="26">IF(LEN(F9)&lt;=$J$1,F9,"")</f>
        <v>Режим</v>
      </c>
      <c r="K9" s="22" t="s">
        <v>92</v>
      </c>
      <c r="L9" s="38" t="s">
        <v>93</v>
      </c>
      <c r="M9" s="25" t="s">
        <v>52</v>
      </c>
      <c r="N9" s="25" t="s">
        <v>52</v>
      </c>
      <c r="O9" s="25"/>
      <c r="P9" s="35">
        <v>2</v>
      </c>
      <c r="Q9" s="35" t="s">
        <v>94</v>
      </c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 t="s">
        <v>96</v>
      </c>
      <c r="AJ9" s="23" t="s">
        <v>97</v>
      </c>
      <c r="AK9" s="23" t="s">
        <v>98</v>
      </c>
      <c r="AL9" s="23" t="s">
        <v>99</v>
      </c>
      <c r="AM9" s="23" t="s">
        <v>93</v>
      </c>
      <c r="AN9" s="23"/>
      <c r="AO9" s="23" t="s">
        <v>100</v>
      </c>
      <c r="AP9" s="26" t="str">
        <f t="shared" ref="AP9:AP10" si="27">CONCATENATE(AJ9, ".", AL9)</f>
        <v>GENRBRF1.FailTmms.setVal</v>
      </c>
      <c r="AQ9" s="23" t="s">
        <v>55</v>
      </c>
      <c r="AR9" s="23">
        <v>0</v>
      </c>
      <c r="AS9" s="23">
        <v>0</v>
      </c>
      <c r="AT9" s="23">
        <v>0</v>
      </c>
      <c r="AU9" s="23">
        <v>0</v>
      </c>
      <c r="AV9" s="23">
        <f t="shared" ref="AV9:AV10" si="28">BIN2DEC(CONCATENATE(0,0,0,0,AR9,AS9,AT9,AU9))</f>
        <v>0</v>
      </c>
      <c r="AW9" s="23"/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ref="BG9:BG10" si="29">CONCATENATE("description: """,F9,"""", ", ", "note: """,E9,"""",", ","group: """, B9, """",", ","minValue: ", S9,", ","maxValue: ", T9,", ","step: ", U9,", ","units: """, R9, """",", ","defaultValue: ", X9,", ","eventRegistration: ", Y9,)</f>
        <v>description: "Режим", note: "Режим работы порта ИЧМ", group: "setting", minValue: 0, maxValue: 1, step: 1, units: "null", defaultValue: 0, eventRegistration: 0</v>
      </c>
    </row>
    <row r="10" spans="1:16379" s="39" customFormat="1" ht="15.75" customHeight="1" x14ac:dyDescent="0.25">
      <c r="A10" s="22"/>
      <c r="B10" s="22" t="s">
        <v>59</v>
      </c>
      <c r="C10" s="25"/>
      <c r="D10" s="30" t="s">
        <v>90</v>
      </c>
      <c r="E10" s="20" t="s">
        <v>115</v>
      </c>
      <c r="F10" s="20" t="s">
        <v>116</v>
      </c>
      <c r="G10" s="20" t="s">
        <v>116</v>
      </c>
      <c r="H10" s="20"/>
      <c r="I10" s="20">
        <f t="shared" si="25"/>
        <v>4</v>
      </c>
      <c r="J10" s="20" t="str">
        <f t="shared" si="26"/>
        <v>Тосп</v>
      </c>
      <c r="K10" s="22" t="s">
        <v>92</v>
      </c>
      <c r="L10" s="38" t="s">
        <v>93</v>
      </c>
      <c r="M10" s="25" t="s">
        <v>52</v>
      </c>
      <c r="N10" s="25" t="s">
        <v>52</v>
      </c>
      <c r="O10" s="25"/>
      <c r="P10" s="35">
        <v>2</v>
      </c>
      <c r="Q10" s="35" t="s">
        <v>94</v>
      </c>
      <c r="R10" s="25" t="s">
        <v>95</v>
      </c>
      <c r="S10" s="25">
        <v>0</v>
      </c>
      <c r="T10" s="25">
        <v>100</v>
      </c>
      <c r="U10" s="25">
        <v>1</v>
      </c>
      <c r="V10" s="25"/>
      <c r="W10" s="25"/>
      <c r="X10" s="25">
        <v>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96</v>
      </c>
      <c r="AJ10" s="23" t="s">
        <v>97</v>
      </c>
      <c r="AK10" s="23" t="s">
        <v>98</v>
      </c>
      <c r="AL10" s="23" t="s">
        <v>99</v>
      </c>
      <c r="AM10" s="23" t="s">
        <v>93</v>
      </c>
      <c r="AN10" s="23"/>
      <c r="AO10" s="23" t="s">
        <v>100</v>
      </c>
      <c r="AP10" s="26" t="str">
        <f t="shared" si="27"/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28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29"/>
        <v>description: "Тосп", note: "Время отстройки от случайных помех", group: "setting", minValue: 0, maxValue: 100, step: 1, units: "мс", defaultValue: 0, eventRegistration: 0</v>
      </c>
    </row>
    <row r="11" spans="1:16379" s="39" customFormat="1" ht="15.75" customHeight="1" x14ac:dyDescent="0.25">
      <c r="A11" s="22"/>
      <c r="B11" s="22" t="s">
        <v>59</v>
      </c>
      <c r="C11" s="25"/>
      <c r="D11" s="30" t="s">
        <v>90</v>
      </c>
      <c r="E11" s="20" t="s">
        <v>117</v>
      </c>
      <c r="F11" s="20" t="s">
        <v>118</v>
      </c>
      <c r="G11" s="20" t="s">
        <v>118</v>
      </c>
      <c r="H11" s="20"/>
      <c r="I11" s="20">
        <f t="shared" ref="I11:I12" si="30">LEN(F11)</f>
        <v>7</v>
      </c>
      <c r="J11" s="20" t="str">
        <f t="shared" ref="J11:J12" si="31">IF(LEN(F11)&lt;=$J$1,F11,"")</f>
        <v>Тфильтр</v>
      </c>
      <c r="K11" s="22" t="s">
        <v>92</v>
      </c>
      <c r="L11" s="38" t="s">
        <v>93</v>
      </c>
      <c r="M11" s="25" t="s">
        <v>52</v>
      </c>
      <c r="N11" s="25" t="s">
        <v>52</v>
      </c>
      <c r="O11" s="25"/>
      <c r="P11" s="35">
        <v>2</v>
      </c>
      <c r="Q11" s="35" t="s">
        <v>94</v>
      </c>
      <c r="R11" s="25" t="s">
        <v>95</v>
      </c>
      <c r="S11" s="25">
        <v>0</v>
      </c>
      <c r="T11" s="25">
        <v>100</v>
      </c>
      <c r="U11" s="25">
        <v>1</v>
      </c>
      <c r="V11" s="25"/>
      <c r="W11" s="25"/>
      <c r="X11" s="25">
        <v>10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 t="s">
        <v>96</v>
      </c>
      <c r="AJ11" s="23" t="s">
        <v>97</v>
      </c>
      <c r="AK11" s="23" t="s">
        <v>98</v>
      </c>
      <c r="AL11" s="23" t="s">
        <v>99</v>
      </c>
      <c r="AM11" s="23" t="s">
        <v>93</v>
      </c>
      <c r="AN11" s="23"/>
      <c r="AO11" s="23" t="s">
        <v>100</v>
      </c>
      <c r="AP11" s="26" t="str">
        <f t="shared" ref="AP11" si="32">CONCATENATE(AJ11, ".", AL11)</f>
        <v>GENRBRF1.FailTmms.setVal</v>
      </c>
      <c r="AQ11" s="23" t="s">
        <v>55</v>
      </c>
      <c r="AR11" s="23">
        <v>0</v>
      </c>
      <c r="AS11" s="23">
        <v>0</v>
      </c>
      <c r="AT11" s="23">
        <v>0</v>
      </c>
      <c r="AU11" s="23">
        <v>0</v>
      </c>
      <c r="AV11" s="23">
        <f t="shared" ref="AV11:AV12" si="33">BIN2DEC(CONCATENATE(0,0,0,0,AR11,AS11,AT11,AU11))</f>
        <v>0</v>
      </c>
      <c r="AW11" s="23"/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ref="BG11:BG12" si="3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"Тфильтр", note: "Время фильтрации входа", group: "setting", minValue: 0, maxValue: 100, step: 1, units: "мс", defaultValue: 10, eventRegistration: 0</v>
      </c>
    </row>
    <row r="12" spans="1:16379" s="39" customFormat="1" ht="17.25" customHeight="1" x14ac:dyDescent="0.25">
      <c r="A12" s="22"/>
      <c r="B12" s="22" t="s">
        <v>59</v>
      </c>
      <c r="C12" s="25"/>
      <c r="D12" s="30" t="s">
        <v>90</v>
      </c>
      <c r="E12" s="20" t="s">
        <v>119</v>
      </c>
      <c r="F12" s="20" t="s">
        <v>120</v>
      </c>
      <c r="G12" s="20" t="s">
        <v>120</v>
      </c>
      <c r="H12" s="44"/>
      <c r="I12" s="20">
        <f t="shared" si="30"/>
        <v>11</v>
      </c>
      <c r="J12" s="20" t="str">
        <f t="shared" si="31"/>
        <v>X1.Адрес IP</v>
      </c>
      <c r="K12" s="22" t="s">
        <v>66</v>
      </c>
      <c r="L12" s="46" t="s">
        <v>93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125</v>
      </c>
      <c r="S12" s="25">
        <v>0</v>
      </c>
      <c r="T12" s="25">
        <v>14</v>
      </c>
      <c r="U12" s="25">
        <v>1</v>
      </c>
      <c r="V12" s="25"/>
      <c r="W12" s="25"/>
      <c r="X12" s="25">
        <v>0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33"/>
        <v>0</v>
      </c>
      <c r="AW12" s="23" t="s">
        <v>78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34"/>
        <v>description: "X1.Адрес IP", note: "Интерфейс Eth1. Адрес IP", group: "setting", minValue: 0, maxValue: 14, step: 1, units: "Символ", defaultValue: 0, eventRegistration: 0</v>
      </c>
    </row>
    <row r="13" spans="1:16379" s="39" customFormat="1" ht="17.25" customHeight="1" x14ac:dyDescent="0.25">
      <c r="A13" s="22"/>
      <c r="B13" s="22" t="s">
        <v>59</v>
      </c>
      <c r="C13" s="25"/>
      <c r="D13" s="30" t="s">
        <v>90</v>
      </c>
      <c r="E13" s="20" t="s">
        <v>121</v>
      </c>
      <c r="F13" s="20" t="s">
        <v>122</v>
      </c>
      <c r="G13" s="20" t="s">
        <v>122</v>
      </c>
      <c r="H13" s="44"/>
      <c r="I13" s="20">
        <f t="shared" ref="I13" si="35">LEN(F13)</f>
        <v>11</v>
      </c>
      <c r="J13" s="20" t="str">
        <f t="shared" ref="J13" si="36">IF(LEN(F13)&lt;=$J$1,F13,"")</f>
        <v>X1.Маска IP</v>
      </c>
      <c r="K13" s="22" t="s">
        <v>66</v>
      </c>
      <c r="L13" s="46" t="s">
        <v>93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125</v>
      </c>
      <c r="S13" s="25">
        <v>0</v>
      </c>
      <c r="T13" s="25">
        <v>14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ref="AV13" si="37">BIN2DEC(CONCATENATE(0,0,0,0,AR13,AS13,AT13,AU13))</f>
        <v>0</v>
      </c>
      <c r="AW13" s="23" t="s">
        <v>78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" si="3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"X1.Маска IP", note: "Интерфейс Eth1. Маска IP", group: "setting", minValue: 0, maxValue: 14, step: 1, units: "Символ", defaultValue: 0, eventRegistration: 0</v>
      </c>
    </row>
    <row r="14" spans="1:16379" s="39" customFormat="1" ht="17.25" customHeight="1" x14ac:dyDescent="0.25">
      <c r="A14" s="22"/>
      <c r="B14" s="22" t="s">
        <v>59</v>
      </c>
      <c r="C14" s="25"/>
      <c r="D14" s="30" t="s">
        <v>90</v>
      </c>
      <c r="E14" s="20" t="s">
        <v>123</v>
      </c>
      <c r="F14" s="20" t="s">
        <v>124</v>
      </c>
      <c r="G14" s="20" t="s">
        <v>124</v>
      </c>
      <c r="H14" s="44"/>
      <c r="I14" s="20">
        <f t="shared" ref="I14" si="39">LEN(F14)</f>
        <v>14</v>
      </c>
      <c r="J14" s="20" t="str">
        <f t="shared" ref="J14" si="40">IF(LEN(F14)&lt;=$J$1,F14,"")</f>
        <v>X1.Адрес шлюза</v>
      </c>
      <c r="K14" s="22" t="s">
        <v>66</v>
      </c>
      <c r="L14" s="46" t="s">
        <v>93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125</v>
      </c>
      <c r="S14" s="25">
        <v>0</v>
      </c>
      <c r="T14" s="25">
        <v>14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" si="41">BIN2DEC(CONCATENATE(0,0,0,0,AR14,AS14,AT14,AU14))</f>
        <v>0</v>
      </c>
      <c r="AW14" s="23" t="s">
        <v>78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ref="BG14" si="4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"X1.Адрес шлюза", note: "Интерфейс Eth1. Адрес шлюза", group: "setting", minValue: 0, maxValue: 14, step: 1, units: "Символ", defaultValue: 0, eventRegistration: 0</v>
      </c>
    </row>
    <row r="15" spans="1:16379" s="39" customFormat="1" ht="17.25" customHeight="1" x14ac:dyDescent="0.25">
      <c r="A15" s="22"/>
      <c r="B15" s="22" t="s">
        <v>59</v>
      </c>
      <c r="C15" s="25"/>
      <c r="D15" s="30" t="s">
        <v>90</v>
      </c>
      <c r="E15" s="20" t="s">
        <v>126</v>
      </c>
      <c r="F15" s="20" t="s">
        <v>129</v>
      </c>
      <c r="G15" s="20" t="s">
        <v>129</v>
      </c>
      <c r="H15" s="44"/>
      <c r="I15" s="20">
        <f t="shared" ref="I15:I17" si="43">LEN(F15)</f>
        <v>11</v>
      </c>
      <c r="J15" s="20" t="str">
        <f t="shared" ref="J15:J17" si="44">IF(LEN(F15)&lt;=$J$1,F15,"")</f>
        <v>X2.Адрес IP</v>
      </c>
      <c r="K15" s="22" t="s">
        <v>66</v>
      </c>
      <c r="L15" s="46" t="s">
        <v>93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125</v>
      </c>
      <c r="S15" s="25">
        <v>0</v>
      </c>
      <c r="T15" s="25">
        <v>14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ref="AV15:AV17" si="45">BIN2DEC(CONCATENATE(0,0,0,0,AR15,AS15,AT15,AU15))</f>
        <v>0</v>
      </c>
      <c r="AW15" s="23" t="s">
        <v>78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:BG17" si="4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"X2.Адрес IP", note: "Интерфейс Eth2. Адрес IP", group: "setting", minValue: 0, maxValue: 14, step: 1, units: "Символ", defaultValue: 0, eventRegistration: 0</v>
      </c>
    </row>
    <row r="16" spans="1:16379" s="39" customFormat="1" ht="17.25" customHeight="1" x14ac:dyDescent="0.25">
      <c r="A16" s="22"/>
      <c r="B16" s="22" t="s">
        <v>59</v>
      </c>
      <c r="C16" s="25"/>
      <c r="D16" s="30" t="s">
        <v>90</v>
      </c>
      <c r="E16" s="20" t="s">
        <v>127</v>
      </c>
      <c r="F16" s="20" t="s">
        <v>130</v>
      </c>
      <c r="G16" s="20" t="s">
        <v>130</v>
      </c>
      <c r="H16" s="44"/>
      <c r="I16" s="20">
        <f t="shared" si="43"/>
        <v>11</v>
      </c>
      <c r="J16" s="20" t="str">
        <f t="shared" si="44"/>
        <v>X2.Маска IP</v>
      </c>
      <c r="K16" s="22" t="s">
        <v>66</v>
      </c>
      <c r="L16" s="46" t="s">
        <v>93</v>
      </c>
      <c r="M16" s="25" t="s">
        <v>52</v>
      </c>
      <c r="N16" s="25" t="s">
        <v>52</v>
      </c>
      <c r="O16" s="25"/>
      <c r="P16" s="35">
        <v>0</v>
      </c>
      <c r="Q16" s="35"/>
      <c r="R16" s="25" t="s">
        <v>125</v>
      </c>
      <c r="S16" s="25">
        <v>0</v>
      </c>
      <c r="T16" s="25">
        <v>14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/>
      <c r="AJ16" s="23"/>
      <c r="AK16" s="23"/>
      <c r="AL16" s="23"/>
      <c r="AM16" s="23"/>
      <c r="AN16" s="23"/>
      <c r="AO16" s="23"/>
      <c r="AP16" s="23"/>
      <c r="AQ16" s="23"/>
      <c r="AR16" s="23">
        <v>0</v>
      </c>
      <c r="AS16" s="23">
        <v>0</v>
      </c>
      <c r="AT16" s="23">
        <v>0</v>
      </c>
      <c r="AU16" s="23">
        <v>0</v>
      </c>
      <c r="AV16" s="23">
        <f t="shared" si="45"/>
        <v>0</v>
      </c>
      <c r="AW16" s="23" t="s">
        <v>78</v>
      </c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6"/>
        <v>description: "X2.Маска IP", note: "Интерфейс Eth2. Маска IP", group: "setting", minValue: 0, maxValue: 14, step: 1, units: "Символ", defaultValue: 0, eventRegistration: 0</v>
      </c>
    </row>
    <row r="17" spans="1:60" s="39" customFormat="1" ht="17.25" customHeight="1" x14ac:dyDescent="0.25">
      <c r="A17" s="22"/>
      <c r="B17" s="22" t="s">
        <v>59</v>
      </c>
      <c r="C17" s="25"/>
      <c r="D17" s="30" t="s">
        <v>90</v>
      </c>
      <c r="E17" s="20" t="s">
        <v>128</v>
      </c>
      <c r="F17" s="20" t="s">
        <v>131</v>
      </c>
      <c r="G17" s="20" t="s">
        <v>131</v>
      </c>
      <c r="H17" s="44"/>
      <c r="I17" s="20">
        <f t="shared" si="43"/>
        <v>14</v>
      </c>
      <c r="J17" s="20" t="str">
        <f t="shared" si="44"/>
        <v>X2.Адрес шлюза</v>
      </c>
      <c r="K17" s="22" t="s">
        <v>66</v>
      </c>
      <c r="L17" s="46" t="s">
        <v>93</v>
      </c>
      <c r="M17" s="25" t="s">
        <v>52</v>
      </c>
      <c r="N17" s="25" t="s">
        <v>52</v>
      </c>
      <c r="O17" s="25"/>
      <c r="P17" s="35">
        <v>0</v>
      </c>
      <c r="Q17" s="35"/>
      <c r="R17" s="25" t="s">
        <v>125</v>
      </c>
      <c r="S17" s="25">
        <v>0</v>
      </c>
      <c r="T17" s="25">
        <v>14</v>
      </c>
      <c r="U17" s="25">
        <v>1</v>
      </c>
      <c r="V17" s="25"/>
      <c r="W17" s="25"/>
      <c r="X17" s="25">
        <v>0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/>
      <c r="AJ17" s="23"/>
      <c r="AK17" s="23"/>
      <c r="AL17" s="23"/>
      <c r="AM17" s="23"/>
      <c r="AN17" s="23"/>
      <c r="AO17" s="23"/>
      <c r="AP17" s="23"/>
      <c r="AQ17" s="23"/>
      <c r="AR17" s="23">
        <v>0</v>
      </c>
      <c r="AS17" s="23">
        <v>0</v>
      </c>
      <c r="AT17" s="23">
        <v>0</v>
      </c>
      <c r="AU17" s="23">
        <v>0</v>
      </c>
      <c r="AV17" s="23">
        <f t="shared" si="45"/>
        <v>0</v>
      </c>
      <c r="AW17" s="23" t="s">
        <v>78</v>
      </c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6"/>
        <v>description: "X2.Адрес шлюза", note: "Интерфейс Eth2. Адрес шлюза", group: "setting", minValue: 0, maxValue: 14, step: 1, units: "Символ", defaultValue: 0, eventRegistration: 0</v>
      </c>
    </row>
    <row r="18" spans="1:60" s="39" customFormat="1" ht="17.25" customHeight="1" x14ac:dyDescent="0.25">
      <c r="A18" s="22"/>
      <c r="B18" s="22" t="s">
        <v>59</v>
      </c>
      <c r="C18" s="25"/>
      <c r="D18" s="30" t="s">
        <v>90</v>
      </c>
      <c r="E18" s="20" t="s">
        <v>132</v>
      </c>
      <c r="F18" s="20" t="s">
        <v>135</v>
      </c>
      <c r="G18" s="20" t="s">
        <v>135</v>
      </c>
      <c r="H18" s="44"/>
      <c r="I18" s="20">
        <f t="shared" ref="I18:I20" si="47">LEN(F18)</f>
        <v>11</v>
      </c>
      <c r="J18" s="20" t="str">
        <f t="shared" ref="J18:J20" si="48">IF(LEN(F18)&lt;=$J$1,F18,"")</f>
        <v>X3.Адрес IP</v>
      </c>
      <c r="K18" s="22" t="s">
        <v>66</v>
      </c>
      <c r="L18" s="46" t="s">
        <v>93</v>
      </c>
      <c r="M18" s="25" t="s">
        <v>52</v>
      </c>
      <c r="N18" s="25" t="s">
        <v>52</v>
      </c>
      <c r="O18" s="25"/>
      <c r="P18" s="35">
        <v>0</v>
      </c>
      <c r="Q18" s="35"/>
      <c r="R18" s="25" t="s">
        <v>125</v>
      </c>
      <c r="S18" s="25">
        <v>0</v>
      </c>
      <c r="T18" s="25">
        <v>14</v>
      </c>
      <c r="U18" s="25">
        <v>1</v>
      </c>
      <c r="V18" s="25"/>
      <c r="W18" s="25"/>
      <c r="X18" s="25">
        <v>0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/>
      <c r="AJ18" s="23"/>
      <c r="AK18" s="23"/>
      <c r="AL18" s="23"/>
      <c r="AM18" s="23"/>
      <c r="AN18" s="23"/>
      <c r="AO18" s="23"/>
      <c r="AP18" s="23"/>
      <c r="AQ18" s="23"/>
      <c r="AR18" s="23">
        <v>0</v>
      </c>
      <c r="AS18" s="23">
        <v>0</v>
      </c>
      <c r="AT18" s="23">
        <v>0</v>
      </c>
      <c r="AU18" s="23">
        <v>0</v>
      </c>
      <c r="AV18" s="23">
        <f t="shared" ref="AV18:AV20" si="49">BIN2DEC(CONCATENATE(0,0,0,0,AR18,AS18,AT18,AU18))</f>
        <v>0</v>
      </c>
      <c r="AW18" s="23" t="s">
        <v>78</v>
      </c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:BG20" si="5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"X3.Адрес IP", note: "Интерфейс Eth3. Адрес IP", group: "setting", minValue: 0, maxValue: 14, step: 1, units: "Символ", defaultValue: 0, eventRegistration: 0</v>
      </c>
    </row>
    <row r="19" spans="1:60" s="39" customFormat="1" ht="17.25" customHeight="1" x14ac:dyDescent="0.25">
      <c r="A19" s="22"/>
      <c r="B19" s="22" t="s">
        <v>59</v>
      </c>
      <c r="C19" s="25"/>
      <c r="D19" s="30" t="s">
        <v>90</v>
      </c>
      <c r="E19" s="20" t="s">
        <v>133</v>
      </c>
      <c r="F19" s="20" t="s">
        <v>136</v>
      </c>
      <c r="G19" s="20" t="s">
        <v>136</v>
      </c>
      <c r="H19" s="44"/>
      <c r="I19" s="20">
        <f t="shared" si="47"/>
        <v>11</v>
      </c>
      <c r="J19" s="20" t="str">
        <f t="shared" si="48"/>
        <v>X3.Маска IP</v>
      </c>
      <c r="K19" s="22" t="s">
        <v>66</v>
      </c>
      <c r="L19" s="46" t="s">
        <v>93</v>
      </c>
      <c r="M19" s="25" t="s">
        <v>52</v>
      </c>
      <c r="N19" s="25" t="s">
        <v>52</v>
      </c>
      <c r="O19" s="25"/>
      <c r="P19" s="35">
        <v>0</v>
      </c>
      <c r="Q19" s="35"/>
      <c r="R19" s="25" t="s">
        <v>125</v>
      </c>
      <c r="S19" s="25">
        <v>0</v>
      </c>
      <c r="T19" s="25">
        <v>14</v>
      </c>
      <c r="U19" s="25">
        <v>1</v>
      </c>
      <c r="V19" s="25"/>
      <c r="W19" s="25"/>
      <c r="X19" s="25">
        <v>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/>
      <c r="AJ19" s="23"/>
      <c r="AK19" s="23"/>
      <c r="AL19" s="23"/>
      <c r="AM19" s="23"/>
      <c r="AN19" s="23"/>
      <c r="AO19" s="23"/>
      <c r="AP19" s="23"/>
      <c r="AQ19" s="23"/>
      <c r="AR19" s="23">
        <v>0</v>
      </c>
      <c r="AS19" s="23">
        <v>0</v>
      </c>
      <c r="AT19" s="23">
        <v>0</v>
      </c>
      <c r="AU19" s="23">
        <v>0</v>
      </c>
      <c r="AV19" s="23">
        <f t="shared" si="49"/>
        <v>0</v>
      </c>
      <c r="AW19" s="23" t="s">
        <v>78</v>
      </c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50"/>
        <v>description: "X3.Маска IP", note: "Интерфейс Eth3. Маска IP", group: "setting", minValue: 0, maxValue: 14, step: 1, units: "Символ", defaultValue: 0, eventRegistration: 0</v>
      </c>
    </row>
    <row r="20" spans="1:60" s="39" customFormat="1" ht="17.25" customHeight="1" x14ac:dyDescent="0.25">
      <c r="A20" s="22"/>
      <c r="B20" s="22" t="s">
        <v>59</v>
      </c>
      <c r="C20" s="25"/>
      <c r="D20" s="30" t="s">
        <v>90</v>
      </c>
      <c r="E20" s="20" t="s">
        <v>134</v>
      </c>
      <c r="F20" s="20" t="s">
        <v>137</v>
      </c>
      <c r="G20" s="20" t="s">
        <v>137</v>
      </c>
      <c r="H20" s="44"/>
      <c r="I20" s="20">
        <f t="shared" si="47"/>
        <v>14</v>
      </c>
      <c r="J20" s="20" t="str">
        <f t="shared" si="48"/>
        <v>X3.Адрес шлюза</v>
      </c>
      <c r="K20" s="22" t="s">
        <v>66</v>
      </c>
      <c r="L20" s="46" t="s">
        <v>93</v>
      </c>
      <c r="M20" s="25" t="s">
        <v>52</v>
      </c>
      <c r="N20" s="25" t="s">
        <v>52</v>
      </c>
      <c r="O20" s="25"/>
      <c r="P20" s="35">
        <v>0</v>
      </c>
      <c r="Q20" s="35"/>
      <c r="R20" s="25" t="s">
        <v>125</v>
      </c>
      <c r="S20" s="25">
        <v>0</v>
      </c>
      <c r="T20" s="25">
        <v>14</v>
      </c>
      <c r="U20" s="25">
        <v>1</v>
      </c>
      <c r="V20" s="25"/>
      <c r="W20" s="25"/>
      <c r="X20" s="25">
        <v>0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/>
      <c r="AJ20" s="23"/>
      <c r="AK20" s="23"/>
      <c r="AL20" s="23"/>
      <c r="AM20" s="23"/>
      <c r="AN20" s="23"/>
      <c r="AO20" s="23"/>
      <c r="AP20" s="23"/>
      <c r="AQ20" s="23"/>
      <c r="AR20" s="23">
        <v>0</v>
      </c>
      <c r="AS20" s="23">
        <v>0</v>
      </c>
      <c r="AT20" s="23">
        <v>0</v>
      </c>
      <c r="AU20" s="23">
        <v>0</v>
      </c>
      <c r="AV20" s="23">
        <f t="shared" si="49"/>
        <v>0</v>
      </c>
      <c r="AW20" s="23" t="s">
        <v>78</v>
      </c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50"/>
        <v>description: "X3.Адрес шлюза", note: "Интерфейс Eth3. Адрес шлюза", group: "setting", minValue: 0, maxValue: 14, step: 1, units: "Символ", defaultValue: 0, eventRegistration: 0</v>
      </c>
    </row>
    <row r="21" spans="1:60" s="39" customFormat="1" ht="17.25" customHeight="1" x14ac:dyDescent="0.25">
      <c r="A21" s="22"/>
      <c r="B21" s="22" t="s">
        <v>59</v>
      </c>
      <c r="C21" s="25"/>
      <c r="D21" s="30" t="s">
        <v>90</v>
      </c>
      <c r="E21" s="20" t="s">
        <v>138</v>
      </c>
      <c r="F21" s="20" t="s">
        <v>141</v>
      </c>
      <c r="G21" s="20" t="s">
        <v>141</v>
      </c>
      <c r="H21" s="44"/>
      <c r="I21" s="20">
        <f t="shared" ref="I21:I23" si="51">LEN(F21)</f>
        <v>11</v>
      </c>
      <c r="J21" s="20" t="str">
        <f t="shared" ref="J21:J23" si="52">IF(LEN(F21)&lt;=$J$1,F21,"")</f>
        <v>X4.Адрес IP</v>
      </c>
      <c r="K21" s="22" t="s">
        <v>66</v>
      </c>
      <c r="L21" s="46" t="s">
        <v>93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125</v>
      </c>
      <c r="S21" s="25">
        <v>0</v>
      </c>
      <c r="T21" s="25">
        <v>14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ref="AV21:AV23" si="53">BIN2DEC(CONCATENATE(0,0,0,0,AR21,AS21,AT21,AU21))</f>
        <v>0</v>
      </c>
      <c r="AW21" s="23" t="s">
        <v>78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:BG23" si="5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"X4.Адрес IP", note: "Интерфейс Eth4. Адрес IP", group: "setting", minValue: 0, maxValue: 14, step: 1, units: "Символ", defaultValue: 0, eventRegistration: 0</v>
      </c>
    </row>
    <row r="22" spans="1:60" s="39" customFormat="1" ht="17.25" customHeight="1" x14ac:dyDescent="0.25">
      <c r="A22" s="22"/>
      <c r="B22" s="22" t="s">
        <v>59</v>
      </c>
      <c r="C22" s="25"/>
      <c r="D22" s="30" t="s">
        <v>90</v>
      </c>
      <c r="E22" s="20" t="s">
        <v>139</v>
      </c>
      <c r="F22" s="20" t="s">
        <v>142</v>
      </c>
      <c r="G22" s="20" t="s">
        <v>142</v>
      </c>
      <c r="H22" s="44"/>
      <c r="I22" s="20">
        <f t="shared" si="51"/>
        <v>11</v>
      </c>
      <c r="J22" s="20" t="str">
        <f t="shared" si="52"/>
        <v>X4.Маска IP</v>
      </c>
      <c r="K22" s="22" t="s">
        <v>66</v>
      </c>
      <c r="L22" s="46" t="s">
        <v>93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125</v>
      </c>
      <c r="S22" s="25">
        <v>0</v>
      </c>
      <c r="T22" s="25">
        <v>14</v>
      </c>
      <c r="U22" s="25">
        <v>1</v>
      </c>
      <c r="V22" s="25"/>
      <c r="W22" s="25"/>
      <c r="X22" s="25">
        <v>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53"/>
        <v>0</v>
      </c>
      <c r="AW22" s="23" t="s">
        <v>78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54"/>
        <v>description: "X4.Маска IP", note: "Интерфейс Eth4. Маска IP", group: "setting", minValue: 0, maxValue: 14, step: 1, units: "Символ", defaultValue: 0, eventRegistration: 0</v>
      </c>
    </row>
    <row r="23" spans="1:60" s="39" customFormat="1" ht="17.25" customHeight="1" x14ac:dyDescent="0.25">
      <c r="A23" s="22"/>
      <c r="B23" s="22" t="s">
        <v>59</v>
      </c>
      <c r="C23" s="25"/>
      <c r="D23" s="30" t="s">
        <v>90</v>
      </c>
      <c r="E23" s="20" t="s">
        <v>140</v>
      </c>
      <c r="F23" s="20" t="s">
        <v>143</v>
      </c>
      <c r="G23" s="20" t="s">
        <v>143</v>
      </c>
      <c r="H23" s="44"/>
      <c r="I23" s="20">
        <f t="shared" si="51"/>
        <v>14</v>
      </c>
      <c r="J23" s="20" t="str">
        <f t="shared" si="52"/>
        <v>X4.Адрес шлюза</v>
      </c>
      <c r="K23" s="22" t="s">
        <v>66</v>
      </c>
      <c r="L23" s="46" t="s">
        <v>93</v>
      </c>
      <c r="M23" s="25" t="s">
        <v>52</v>
      </c>
      <c r="N23" s="25" t="s">
        <v>52</v>
      </c>
      <c r="O23" s="25"/>
      <c r="P23" s="35">
        <v>0</v>
      </c>
      <c r="Q23" s="35"/>
      <c r="R23" s="25" t="s">
        <v>125</v>
      </c>
      <c r="S23" s="25">
        <v>0</v>
      </c>
      <c r="T23" s="25">
        <v>14</v>
      </c>
      <c r="U23" s="25">
        <v>1</v>
      </c>
      <c r="V23" s="25"/>
      <c r="W23" s="25"/>
      <c r="X23" s="25">
        <v>0</v>
      </c>
      <c r="Y23" s="25">
        <v>0</v>
      </c>
      <c r="Z23" s="2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19"/>
      <c r="AJ23" s="23"/>
      <c r="AK23" s="23"/>
      <c r="AL23" s="23"/>
      <c r="AM23" s="23"/>
      <c r="AN23" s="23"/>
      <c r="AO23" s="23"/>
      <c r="AP23" s="23"/>
      <c r="AQ23" s="23"/>
      <c r="AR23" s="23">
        <v>0</v>
      </c>
      <c r="AS23" s="23">
        <v>0</v>
      </c>
      <c r="AT23" s="23">
        <v>0</v>
      </c>
      <c r="AU23" s="23">
        <v>0</v>
      </c>
      <c r="AV23" s="23">
        <f t="shared" si="53"/>
        <v>0</v>
      </c>
      <c r="AW23" s="23" t="s">
        <v>78</v>
      </c>
      <c r="AX23" s="23"/>
      <c r="AY23" s="35"/>
      <c r="AZ23" s="23"/>
      <c r="BA23" s="23"/>
      <c r="BB23" s="23"/>
      <c r="BC23" s="23"/>
      <c r="BD23" s="23"/>
      <c r="BE23" s="23"/>
      <c r="BF23" s="23"/>
      <c r="BG23" s="21" t="str">
        <f t="shared" si="54"/>
        <v>description: "X4.Адрес шлюза", note: "Интерфейс Eth4. Адрес шлюза", group: "setting", minValue: 0, maxValue: 14, step: 1, units: "Символ", defaultValue: 0,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B12" sqref="B12"/>
    </sheetView>
  </sheetViews>
  <sheetFormatPr defaultRowHeight="15.75" x14ac:dyDescent="0.25"/>
  <cols>
    <col min="1" max="1" width="55.5703125" style="40" customWidth="1"/>
    <col min="2" max="2" width="67.140625" style="40" customWidth="1"/>
    <col min="3" max="16384" width="9.140625" style="40"/>
  </cols>
  <sheetData>
    <row r="2" spans="1:2" x14ac:dyDescent="0.25">
      <c r="A2" s="10" t="s">
        <v>60</v>
      </c>
      <c r="B2" s="10" t="s">
        <v>61</v>
      </c>
    </row>
    <row r="3" spans="1:2" x14ac:dyDescent="0.25">
      <c r="A3" s="31" t="s">
        <v>62</v>
      </c>
      <c r="B3" s="32" t="s">
        <v>227</v>
      </c>
    </row>
    <row r="4" spans="1:2" x14ac:dyDescent="0.25">
      <c r="A4" s="31" t="s">
        <v>63</v>
      </c>
      <c r="B4" s="33">
        <v>130</v>
      </c>
    </row>
    <row r="5" spans="1:2" x14ac:dyDescent="0.25">
      <c r="A5" s="31" t="s">
        <v>64</v>
      </c>
      <c r="B5" s="32" t="s">
        <v>52</v>
      </c>
    </row>
    <row r="6" spans="1:2" x14ac:dyDescent="0.25">
      <c r="A6" s="34" t="s">
        <v>65</v>
      </c>
      <c r="B6" s="32" t="s">
        <v>227</v>
      </c>
    </row>
    <row r="7" spans="1:2" x14ac:dyDescent="0.25">
      <c r="A7" s="34" t="s">
        <v>80</v>
      </c>
      <c r="B7" s="32">
        <v>1</v>
      </c>
    </row>
    <row r="8" spans="1:2" x14ac:dyDescent="0.25">
      <c r="A8" s="41" t="s">
        <v>81</v>
      </c>
      <c r="B8" s="41" t="s">
        <v>91</v>
      </c>
    </row>
    <row r="9" spans="1:2" x14ac:dyDescent="0.25">
      <c r="A9" s="41" t="s">
        <v>82</v>
      </c>
      <c r="B9" s="41"/>
    </row>
    <row r="10" spans="1:2" x14ac:dyDescent="0.25">
      <c r="A10" s="29" t="s">
        <v>87</v>
      </c>
      <c r="B10" s="40" t="s">
        <v>91</v>
      </c>
    </row>
    <row r="11" spans="1:2" x14ac:dyDescent="0.25">
      <c r="A11" s="29" t="s">
        <v>90</v>
      </c>
      <c r="B11" s="40" t="s">
        <v>90</v>
      </c>
    </row>
    <row r="12" spans="1:2" x14ac:dyDescent="0.25">
      <c r="A12" s="29" t="s">
        <v>88</v>
      </c>
      <c r="B12" s="40">
        <v>0</v>
      </c>
    </row>
    <row r="13" spans="1:2" x14ac:dyDescent="0.25">
      <c r="A13" s="45" t="s">
        <v>89</v>
      </c>
      <c r="B13" s="40">
        <v>0</v>
      </c>
    </row>
    <row r="14" spans="1:2" x14ac:dyDescent="0.25">
      <c r="A14" s="41" t="s">
        <v>82</v>
      </c>
      <c r="B1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2025-10-17T11:51:33Z</dcterms:modified>
</cp:coreProperties>
</file>