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8" i="5" l="1"/>
  <c r="J8" i="5"/>
  <c r="I8" i="5"/>
  <c r="BG7" i="5"/>
  <c r="J7" i="5"/>
  <c r="I7" i="5"/>
  <c r="BG6" i="5"/>
  <c r="J6" i="5"/>
  <c r="I6" i="5"/>
  <c r="BG5" i="5"/>
  <c r="J5" i="5"/>
  <c r="I5" i="5"/>
  <c r="BG92" i="6" l="1"/>
  <c r="AV92" i="6"/>
  <c r="J92" i="6"/>
  <c r="I92" i="6"/>
  <c r="BG91" i="6"/>
  <c r="AV91" i="6"/>
  <c r="AP91" i="6"/>
  <c r="J91" i="6"/>
  <c r="I91" i="6"/>
  <c r="BG90" i="6"/>
  <c r="AV90" i="6"/>
  <c r="AP90" i="6"/>
  <c r="J90" i="6"/>
  <c r="I90" i="6"/>
  <c r="BG89" i="6"/>
  <c r="AV89" i="6"/>
  <c r="AP89" i="6"/>
  <c r="J89" i="6"/>
  <c r="I89" i="6"/>
  <c r="BG88" i="6"/>
  <c r="AV88" i="6"/>
  <c r="AP88" i="6"/>
  <c r="J88" i="6"/>
  <c r="I88" i="6"/>
  <c r="BG87" i="6"/>
  <c r="AV87" i="6"/>
  <c r="AP87" i="6"/>
  <c r="J87" i="6"/>
  <c r="I87" i="6"/>
  <c r="BG86" i="6"/>
  <c r="AV86" i="6"/>
  <c r="AP86" i="6"/>
  <c r="J86" i="6"/>
  <c r="I86" i="6"/>
  <c r="BG85" i="6"/>
  <c r="AV85" i="6"/>
  <c r="AP85" i="6"/>
  <c r="J85" i="6"/>
  <c r="I85" i="6"/>
  <c r="BG84" i="6"/>
  <c r="AV84" i="6"/>
  <c r="AP84" i="6"/>
  <c r="J84" i="6"/>
  <c r="I84" i="6"/>
  <c r="BG83" i="6"/>
  <c r="AV83" i="6"/>
  <c r="AP83" i="6"/>
  <c r="J83" i="6"/>
  <c r="I83" i="6"/>
  <c r="BG82" i="6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<sst xmlns="http://schemas.openxmlformats.org/spreadsheetml/2006/main" count="1928" uniqueCount="226">
  <si>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</si>
  <si>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</si>
  <si>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</si>
  <si>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</si>
  <si>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</si>
  <si>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</si>
  <si>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</si>
  <si>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</si>
  <si>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</si>
  <si>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</si>
  <si>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</si>
  <si>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</si>
  <si>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</si>
  <si>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</si>
  <si>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</si>
  <si>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</si>
  <si>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</si>
  <si>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</si>
  <si>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</si>
  <si>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</si>
  <si>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</si>
  <si>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</si>
  <si>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</si>
  <si>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</si>
  <si>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</si>
  <si>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</si>
  <si>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</si>
  <si>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</si>
  <si>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</si>
  <si>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</si>
  <si>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</si>
  <si>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</si>
  <si>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</si>
  <si>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</si>
  <si>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</si>
  <si>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</si>
  <si>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</si>
  <si>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</si>
  <si>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</si>
  <si>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</si>
  <si>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</si>
  <si>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</si>
  <si>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</si>
  <si>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</si>
  <si>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</si>
  <si>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</si>
  <si>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</si>
  <si>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</si>
  <si>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</si>
  <si>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</si>
  <si>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</si>
  <si>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</si>
  <si>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</si>
  <si>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</si>
  <si>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</si>
  <si>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</si>
  <si>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</si>
  <si>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</si>
  <si>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</si>
  <si>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</si>
  <si>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</si>
  <si>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</si>
  <si>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</si>
  <si>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</si>
  <si>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</si>
  <si>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</si>
  <si>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</si>
  <si>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</si>
  <si>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</si>
  <si>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</si>
  <si>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</si>
  <si>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</si>
  <si>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</si>
  <si>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</si>
  <si>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</si>
  <si>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</si>
  <si>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</si>
  <si>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</si>
  <si>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</si>
  <si>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</si>
  <si>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</si>
  <si>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</si>
  <si>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</si>
  <si>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</si>
  <si>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</si>
  <si>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</si>
  <si>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</si>
  <si>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</si>
  <si>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</si>
  <si>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</si>
  <si>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</si>
  <si>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</si>
  <si>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</si>
  <si>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</si>
  <si>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</si>
  <si>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</si>
  <si>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модуль</t>
  </si>
  <si>
    <t>Измерительный токовый вход 1</t>
  </si>
  <si>
    <t>Измерительный токовый вход 2</t>
  </si>
  <si>
    <t>Измерительный токовый вход 3</t>
  </si>
  <si>
    <t>Измерительный токовый вход 4</t>
  </si>
  <si>
    <t>Измерительный токовый вход 5</t>
  </si>
  <si>
    <t>Измерительный токовый вход 6</t>
  </si>
  <si>
    <t>Измерительный токовый вход 7</t>
  </si>
  <si>
    <t>Измерительный токовый вход 8</t>
  </si>
  <si>
    <t>Измерительный токовый вход 9</t>
  </si>
  <si>
    <t>ТокВ1</t>
  </si>
  <si>
    <t>ТокВ2</t>
  </si>
  <si>
    <t>ТокВ3</t>
  </si>
  <si>
    <t>ТокВ4</t>
  </si>
  <si>
    <t>ТокВ5</t>
  </si>
  <si>
    <t>ТокВ6</t>
  </si>
  <si>
    <t>ТокВ7</t>
  </si>
  <si>
    <t>ТокВ8</t>
  </si>
  <si>
    <t>ТокВ9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</si>
  <si>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</si>
  <si>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</si>
  <si>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</si>
  <si>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</si>
  <si>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</si>
  <si>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</si>
  <si>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</si>
  <si>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</si>
  <si>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</si>
  <si>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</si>
  <si>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</si>
  <si>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</si>
  <si>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</si>
  <si>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</si>
  <si>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</si>
  <si>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</si>
  <si>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</si>
  <si>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</si>
  <si>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</si>
  <si>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</si>
  <si>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</si>
  <si>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</si>
  <si>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</si>
  <si>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</si>
  <si>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</si>
  <si>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</si>
  <si>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</si>
  <si>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</si>
  <si>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</si>
  <si>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</si>
  <si>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</si>
  <si>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</si>
  <si>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</si>
  <si>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</si>
  <si>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</si>
  <si>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</si>
  <si>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</si>
  <si>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</si>
  <si>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</si>
  <si>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</si>
  <si>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</si>
  <si>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</si>
  <si>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</si>
  <si>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</si>
  <si>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</si>
  <si>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</si>
  <si>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</si>
  <si>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</si>
  <si>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</si>
  <si>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</si>
  <si>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</si>
  <si>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</si>
  <si>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</si>
  <si>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</si>
  <si>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</si>
  <si>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</si>
  <si>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</si>
  <si>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</si>
  <si>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</si>
  <si>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</si>
  <si>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</si>
  <si>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</si>
  <si>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</si>
  <si>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</si>
  <si>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</si>
  <si>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</si>
  <si>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</si>
  <si>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</si>
  <si>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</si>
  <si>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</si>
  <si>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</si>
  <si>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</si>
  <si>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</si>
  <si>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</si>
  <si>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</si>
  <si>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</si>
  <si>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</si>
  <si>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</si>
  <si>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</si>
  <si>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</si>
  <si>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</si>
  <si>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</si>
  <si>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</si>
  <si>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</si>
  <si>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</si>
  <si>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</si>
  <si>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</si>
  <si>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</si>
  <si>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</si>
  <si>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</si>
  <si>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</si>
  <si>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</si>
  <si>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</si>
  <si>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Вид представляемой величины 9</t>
  </si>
  <si>
    <t>Тип измерительного датчика 9</t>
  </si>
  <si>
    <t>Вид замера (фазное/линейное) 9</t>
  </si>
  <si>
    <t>Тип представляемой величины 9</t>
  </si>
  <si>
    <t>Номинальное значение (первичное) 9</t>
  </si>
  <si>
    <t>Номинальное значение (вторичное) 9</t>
  </si>
  <si>
    <t>Коэффициент трансформации 9</t>
  </si>
  <si>
    <t>Базисное значение сигнала (первичное) 9</t>
  </si>
  <si>
    <t>Метод расчета 9</t>
  </si>
  <si>
    <t>Имя сигнала для отображения в схемах 9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</si>
  <si>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</si>
  <si>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</si>
  <si>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</si>
  <si>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</si>
  <si>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</si>
  <si>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</si>
  <si>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</si>
  <si>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М090.9000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</si>
</sst>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218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219</v>
      </c>
      <c r="F5" s="20" t="s">
        <v>219</v>
      </c>
      <c r="G5" s="20" t="s">
        <v>219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220</v>
      </c>
      <c r="F6" s="20" t="s">
        <v>221</v>
      </c>
      <c r="G6" s="20" t="s">
        <v>221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222</v>
      </c>
      <c r="F7" s="20" t="s">
        <v>222</v>
      </c>
      <c r="G7" s="20" t="s">
        <v>222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223</v>
      </c>
      <c r="F8" s="20" t="s">
        <v>224</v>
      </c>
      <c r="G8" s="20" t="s">
        <v>224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10"/>
  <sheetViews>
    <sheetView zoomScale="80" zoomScaleNormal="80" workbookViewId="0">
      <selection activeCell="A83" sqref="A83:XFD8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106</v>
      </c>
      <c r="E3" s="48" t="s">
        <v>115</v>
      </c>
      <c r="F3" s="48" t="s">
        <v>116</v>
      </c>
      <c r="G3" s="48" t="s">
        <v>116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106</v>
      </c>
      <c r="E4" s="48" t="s">
        <v>117</v>
      </c>
      <c r="F4" s="48" t="s">
        <v>118</v>
      </c>
      <c r="G4" s="48" t="s">
        <v>118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106</v>
      </c>
      <c r="E5" s="48" t="s">
        <v>119</v>
      </c>
      <c r="F5" s="48" t="s">
        <v>120</v>
      </c>
      <c r="G5" s="48" t="s">
        <v>120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106</v>
      </c>
      <c r="E6" s="48" t="s">
        <v>121</v>
      </c>
      <c r="F6" s="48" t="s">
        <v>122</v>
      </c>
      <c r="G6" s="48" t="s">
        <v>122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106</v>
      </c>
      <c r="E7" s="48" t="s">
        <v>123</v>
      </c>
      <c r="F7" s="48" t="s">
        <v>124</v>
      </c>
      <c r="G7" s="48" t="s">
        <v>124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125</v>
      </c>
      <c r="T7" s="47">
        <v>1000000</v>
      </c>
      <c r="U7" s="47" t="s">
        <v>126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106</v>
      </c>
      <c r="E8" s="48" t="s">
        <v>127</v>
      </c>
      <c r="F8" s="48" t="s">
        <v>128</v>
      </c>
      <c r="G8" s="48" t="s">
        <v>128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125</v>
      </c>
      <c r="T8" s="47">
        <v>1000000</v>
      </c>
      <c r="U8" s="47" t="s">
        <v>126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106</v>
      </c>
      <c r="E9" s="48" t="s">
        <v>129</v>
      </c>
      <c r="F9" s="48" t="s">
        <v>130</v>
      </c>
      <c r="G9" s="48" t="s">
        <v>130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125</v>
      </c>
      <c r="T9" s="47">
        <v>1000000</v>
      </c>
      <c r="U9" s="47" t="s">
        <v>126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106</v>
      </c>
      <c r="E10" s="48" t="s">
        <v>131</v>
      </c>
      <c r="F10" s="48" t="s">
        <v>132</v>
      </c>
      <c r="G10" s="48" t="s">
        <v>132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125</v>
      </c>
      <c r="T10" s="47">
        <v>1000000</v>
      </c>
      <c r="U10" s="47" t="s">
        <v>126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106</v>
      </c>
      <c r="E11" s="48" t="s">
        <v>133</v>
      </c>
      <c r="F11" s="48" t="s">
        <v>134</v>
      </c>
      <c r="G11" s="48" t="s">
        <v>134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106</v>
      </c>
      <c r="E12" s="48" t="s">
        <v>135</v>
      </c>
      <c r="F12" s="48" t="s">
        <v>136</v>
      </c>
      <c r="G12" s="48" t="s">
        <v>136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137</v>
      </c>
      <c r="S12" s="47">
        <v>0</v>
      </c>
      <c r="T12" s="47">
        <v>99</v>
      </c>
      <c r="U12" s="47">
        <v>1</v>
      </c>
      <c r="V12" s="47"/>
      <c r="W12" s="47"/>
      <c r="X12" s="47">
        <v>0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0,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107</v>
      </c>
      <c r="E13" s="20" t="s">
        <v>115</v>
      </c>
      <c r="F13" s="20" t="s">
        <v>138</v>
      </c>
      <c r="G13" s="20" t="s">
        <v>138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107</v>
      </c>
      <c r="E14" s="20" t="s">
        <v>117</v>
      </c>
      <c r="F14" s="20" t="s">
        <v>141</v>
      </c>
      <c r="G14" s="20" t="s">
        <v>141</v>
      </c>
      <c r="H14" s="20"/>
      <c r="I14" s="20">
        <f t="shared" si="40"/>
        <v>28</v>
      </c>
      <c r="J14" s="20" t="str">
        <f t="shared" si="4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107</v>
      </c>
      <c r="E15" s="20" t="s">
        <v>119</v>
      </c>
      <c r="F15" s="20" t="s">
        <v>139</v>
      </c>
      <c r="G15" s="20" t="s">
        <v>139</v>
      </c>
      <c r="H15" s="20"/>
      <c r="I15" s="20">
        <f t="shared" si="40"/>
        <v>30</v>
      </c>
      <c r="J15" s="20" t="str">
        <f t="shared" si="4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107</v>
      </c>
      <c r="E16" s="20" t="s">
        <v>121</v>
      </c>
      <c r="F16" s="20" t="s">
        <v>142</v>
      </c>
      <c r="G16" s="20" t="s">
        <v>142</v>
      </c>
      <c r="H16" s="20"/>
      <c r="I16" s="20">
        <f t="shared" si="40"/>
        <v>29</v>
      </c>
      <c r="J16" s="20" t="str">
        <f t="shared" si="4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107</v>
      </c>
      <c r="E17" s="20" t="s">
        <v>123</v>
      </c>
      <c r="F17" s="20" t="s">
        <v>140</v>
      </c>
      <c r="G17" s="20" t="s">
        <v>140</v>
      </c>
      <c r="H17" s="20"/>
      <c r="I17" s="20">
        <f t="shared" si="40"/>
        <v>34</v>
      </c>
      <c r="J17" s="20" t="str">
        <f t="shared" si="4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125</v>
      </c>
      <c r="T17" s="25">
        <v>1000000</v>
      </c>
      <c r="U17" s="25" t="s">
        <v>126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107</v>
      </c>
      <c r="E18" s="20" t="s">
        <v>127</v>
      </c>
      <c r="F18" s="20" t="s">
        <v>143</v>
      </c>
      <c r="G18" s="20" t="s">
        <v>143</v>
      </c>
      <c r="H18" s="20"/>
      <c r="I18" s="20">
        <f t="shared" si="40"/>
        <v>34</v>
      </c>
      <c r="J18" s="20" t="str">
        <f t="shared" si="4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125</v>
      </c>
      <c r="T18" s="25">
        <v>1000000</v>
      </c>
      <c r="U18" s="25" t="s">
        <v>126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107</v>
      </c>
      <c r="E19" s="20" t="s">
        <v>129</v>
      </c>
      <c r="F19" s="20" t="s">
        <v>147</v>
      </c>
      <c r="G19" s="20" t="s">
        <v>147</v>
      </c>
      <c r="H19" s="20"/>
      <c r="I19" s="20">
        <f t="shared" si="40"/>
        <v>27</v>
      </c>
      <c r="J19" s="20" t="str">
        <f t="shared" si="4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125</v>
      </c>
      <c r="T19" s="25">
        <v>1000000</v>
      </c>
      <c r="U19" s="25" t="s">
        <v>126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107</v>
      </c>
      <c r="E20" s="20" t="s">
        <v>131</v>
      </c>
      <c r="F20" s="20" t="s">
        <v>144</v>
      </c>
      <c r="G20" s="20" t="s">
        <v>144</v>
      </c>
      <c r="H20" s="20"/>
      <c r="I20" s="20">
        <f t="shared" si="40"/>
        <v>39</v>
      </c>
      <c r="J20" s="20" t="str">
        <f t="shared" si="4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125</v>
      </c>
      <c r="T20" s="25">
        <v>1000000</v>
      </c>
      <c r="U20" s="25" t="s">
        <v>126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107</v>
      </c>
      <c r="E21" s="20" t="s">
        <v>133</v>
      </c>
      <c r="F21" s="20" t="s">
        <v>146</v>
      </c>
      <c r="G21" s="20" t="s">
        <v>146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107</v>
      </c>
      <c r="E22" s="20" t="s">
        <v>135</v>
      </c>
      <c r="F22" s="20" t="s">
        <v>145</v>
      </c>
      <c r="G22" s="20" t="s">
        <v>145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137</v>
      </c>
      <c r="S22" s="25">
        <v>0</v>
      </c>
      <c r="T22" s="25">
        <v>99</v>
      </c>
      <c r="U22" s="25">
        <v>1</v>
      </c>
      <c r="V22" s="25"/>
      <c r="W22" s="25"/>
      <c r="X22" s="25">
        <v>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0,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108</v>
      </c>
      <c r="E23" s="48" t="s">
        <v>115</v>
      </c>
      <c r="F23" s="48" t="s">
        <v>148</v>
      </c>
      <c r="G23" s="48" t="s">
        <v>148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108</v>
      </c>
      <c r="E24" s="48" t="s">
        <v>117</v>
      </c>
      <c r="F24" s="48" t="s">
        <v>149</v>
      </c>
      <c r="G24" s="48" t="s">
        <v>149</v>
      </c>
      <c r="H24" s="48"/>
      <c r="I24" s="48">
        <f t="shared" si="45"/>
        <v>28</v>
      </c>
      <c r="J24" s="48" t="str">
        <f t="shared" si="46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108</v>
      </c>
      <c r="E25" s="48" t="s">
        <v>119</v>
      </c>
      <c r="F25" s="48" t="s">
        <v>150</v>
      </c>
      <c r="G25" s="48" t="s">
        <v>150</v>
      </c>
      <c r="H25" s="48"/>
      <c r="I25" s="48">
        <f t="shared" si="45"/>
        <v>30</v>
      </c>
      <c r="J25" s="48" t="str">
        <f t="shared" si="46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108</v>
      </c>
      <c r="E26" s="48" t="s">
        <v>121</v>
      </c>
      <c r="F26" s="48" t="s">
        <v>151</v>
      </c>
      <c r="G26" s="48" t="s">
        <v>151</v>
      </c>
      <c r="H26" s="48"/>
      <c r="I26" s="48">
        <f t="shared" si="45"/>
        <v>29</v>
      </c>
      <c r="J26" s="48" t="str">
        <f t="shared" si="46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108</v>
      </c>
      <c r="E27" s="48" t="s">
        <v>123</v>
      </c>
      <c r="F27" s="48" t="s">
        <v>152</v>
      </c>
      <c r="G27" s="48" t="s">
        <v>152</v>
      </c>
      <c r="H27" s="48"/>
      <c r="I27" s="48">
        <f t="shared" si="45"/>
        <v>34</v>
      </c>
      <c r="J27" s="48" t="str">
        <f t="shared" si="46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125</v>
      </c>
      <c r="T27" s="47">
        <v>1000000</v>
      </c>
      <c r="U27" s="47" t="s">
        <v>126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108</v>
      </c>
      <c r="E28" s="48" t="s">
        <v>127</v>
      </c>
      <c r="F28" s="48" t="s">
        <v>153</v>
      </c>
      <c r="G28" s="48" t="s">
        <v>153</v>
      </c>
      <c r="H28" s="48"/>
      <c r="I28" s="48">
        <f t="shared" si="45"/>
        <v>34</v>
      </c>
      <c r="J28" s="48" t="str">
        <f t="shared" si="46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125</v>
      </c>
      <c r="T28" s="47">
        <v>1000000</v>
      </c>
      <c r="U28" s="47" t="s">
        <v>126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108</v>
      </c>
      <c r="E29" s="48" t="s">
        <v>129</v>
      </c>
      <c r="F29" s="48" t="s">
        <v>154</v>
      </c>
      <c r="G29" s="48" t="s">
        <v>154</v>
      </c>
      <c r="H29" s="48"/>
      <c r="I29" s="48">
        <f t="shared" si="45"/>
        <v>27</v>
      </c>
      <c r="J29" s="48" t="str">
        <f t="shared" si="46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125</v>
      </c>
      <c r="T29" s="47">
        <v>1000000</v>
      </c>
      <c r="U29" s="47" t="s">
        <v>126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108</v>
      </c>
      <c r="E30" s="48" t="s">
        <v>131</v>
      </c>
      <c r="F30" s="48" t="s">
        <v>155</v>
      </c>
      <c r="G30" s="48" t="s">
        <v>155</v>
      </c>
      <c r="H30" s="48"/>
      <c r="I30" s="48">
        <f t="shared" si="45"/>
        <v>39</v>
      </c>
      <c r="J30" s="48" t="str">
        <f t="shared" si="46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125</v>
      </c>
      <c r="T30" s="47">
        <v>1000000</v>
      </c>
      <c r="U30" s="47" t="s">
        <v>126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108</v>
      </c>
      <c r="E31" s="48" t="s">
        <v>133</v>
      </c>
      <c r="F31" s="48" t="s">
        <v>156</v>
      </c>
      <c r="G31" s="48" t="s">
        <v>156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108</v>
      </c>
      <c r="E32" s="48" t="s">
        <v>135</v>
      </c>
      <c r="F32" s="48" t="s">
        <v>157</v>
      </c>
      <c r="G32" s="48" t="s">
        <v>157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137</v>
      </c>
      <c r="S32" s="47">
        <v>0</v>
      </c>
      <c r="T32" s="47">
        <v>99</v>
      </c>
      <c r="U32" s="47">
        <v>1</v>
      </c>
      <c r="V32" s="47"/>
      <c r="W32" s="47"/>
      <c r="X32" s="47">
        <v>0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0,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109</v>
      </c>
      <c r="E33" s="20" t="s">
        <v>115</v>
      </c>
      <c r="F33" s="20" t="s">
        <v>158</v>
      </c>
      <c r="G33" s="20" t="s">
        <v>158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109</v>
      </c>
      <c r="E34" s="20" t="s">
        <v>117</v>
      </c>
      <c r="F34" s="20" t="s">
        <v>159</v>
      </c>
      <c r="G34" s="20" t="s">
        <v>159</v>
      </c>
      <c r="H34" s="20"/>
      <c r="I34" s="20">
        <f t="shared" si="50"/>
        <v>28</v>
      </c>
      <c r="J34" s="20" t="str">
        <f t="shared" si="5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109</v>
      </c>
      <c r="E35" s="20" t="s">
        <v>119</v>
      </c>
      <c r="F35" s="20" t="s">
        <v>160</v>
      </c>
      <c r="G35" s="20" t="s">
        <v>160</v>
      </c>
      <c r="H35" s="20"/>
      <c r="I35" s="20">
        <f t="shared" si="50"/>
        <v>30</v>
      </c>
      <c r="J35" s="20" t="str">
        <f t="shared" si="5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109</v>
      </c>
      <c r="E36" s="20" t="s">
        <v>121</v>
      </c>
      <c r="F36" s="20" t="s">
        <v>161</v>
      </c>
      <c r="G36" s="20" t="s">
        <v>161</v>
      </c>
      <c r="H36" s="20"/>
      <c r="I36" s="20">
        <f t="shared" si="50"/>
        <v>29</v>
      </c>
      <c r="J36" s="20" t="str">
        <f t="shared" si="5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109</v>
      </c>
      <c r="E37" s="20" t="s">
        <v>123</v>
      </c>
      <c r="F37" s="20" t="s">
        <v>162</v>
      </c>
      <c r="G37" s="20" t="s">
        <v>162</v>
      </c>
      <c r="H37" s="20"/>
      <c r="I37" s="20">
        <f t="shared" si="50"/>
        <v>34</v>
      </c>
      <c r="J37" s="20" t="str">
        <f t="shared" si="5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125</v>
      </c>
      <c r="T37" s="25">
        <v>1000000</v>
      </c>
      <c r="U37" s="25" t="s">
        <v>126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109</v>
      </c>
      <c r="E38" s="20" t="s">
        <v>127</v>
      </c>
      <c r="F38" s="20" t="s">
        <v>163</v>
      </c>
      <c r="G38" s="20" t="s">
        <v>163</v>
      </c>
      <c r="H38" s="20"/>
      <c r="I38" s="20">
        <f t="shared" si="50"/>
        <v>34</v>
      </c>
      <c r="J38" s="20" t="str">
        <f t="shared" si="5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125</v>
      </c>
      <c r="T38" s="25">
        <v>1000000</v>
      </c>
      <c r="U38" s="25" t="s">
        <v>126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109</v>
      </c>
      <c r="E39" s="20" t="s">
        <v>129</v>
      </c>
      <c r="F39" s="20" t="s">
        <v>164</v>
      </c>
      <c r="G39" s="20" t="s">
        <v>164</v>
      </c>
      <c r="H39" s="20"/>
      <c r="I39" s="20">
        <f t="shared" si="50"/>
        <v>27</v>
      </c>
      <c r="J39" s="20" t="str">
        <f t="shared" si="5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125</v>
      </c>
      <c r="T39" s="25">
        <v>1000000</v>
      </c>
      <c r="U39" s="25" t="s">
        <v>126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109</v>
      </c>
      <c r="E40" s="20" t="s">
        <v>131</v>
      </c>
      <c r="F40" s="20" t="s">
        <v>165</v>
      </c>
      <c r="G40" s="20" t="s">
        <v>165</v>
      </c>
      <c r="H40" s="20"/>
      <c r="I40" s="20">
        <f t="shared" si="50"/>
        <v>39</v>
      </c>
      <c r="J40" s="20" t="str">
        <f t="shared" si="5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125</v>
      </c>
      <c r="T40" s="25">
        <v>1000000</v>
      </c>
      <c r="U40" s="25" t="s">
        <v>126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109</v>
      </c>
      <c r="E41" s="20" t="s">
        <v>133</v>
      </c>
      <c r="F41" s="20" t="s">
        <v>166</v>
      </c>
      <c r="G41" s="20" t="s">
        <v>166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109</v>
      </c>
      <c r="E42" s="20" t="s">
        <v>135</v>
      </c>
      <c r="F42" s="20" t="s">
        <v>167</v>
      </c>
      <c r="G42" s="20" t="s">
        <v>167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137</v>
      </c>
      <c r="S42" s="25">
        <v>0</v>
      </c>
      <c r="T42" s="25">
        <v>99</v>
      </c>
      <c r="U42" s="25">
        <v>1</v>
      </c>
      <c r="V42" s="25"/>
      <c r="W42" s="25"/>
      <c r="X42" s="25">
        <v>0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0,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110</v>
      </c>
      <c r="E43" s="48" t="s">
        <v>115</v>
      </c>
      <c r="F43" s="48" t="s">
        <v>168</v>
      </c>
      <c r="G43" s="48" t="s">
        <v>168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85</v>
      </c>
      <c r="L43" s="56" t="s">
        <v>86</v>
      </c>
      <c r="M43" s="47" t="s">
        <v>52</v>
      </c>
      <c r="N43" s="47" t="s">
        <v>52</v>
      </c>
      <c r="O43" s="47"/>
      <c r="P43" s="50">
        <v>2</v>
      </c>
      <c r="Q43" s="50" t="s">
        <v>87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88</v>
      </c>
      <c r="AJ43" s="53" t="s">
        <v>89</v>
      </c>
      <c r="AK43" s="53" t="s">
        <v>90</v>
      </c>
      <c r="AL43" s="53" t="s">
        <v>91</v>
      </c>
      <c r="AM43" s="53" t="s">
        <v>86</v>
      </c>
      <c r="AN43" s="53"/>
      <c r="AO43" s="53" t="s">
        <v>92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110</v>
      </c>
      <c r="E44" s="48" t="s">
        <v>117</v>
      </c>
      <c r="F44" s="48" t="s">
        <v>169</v>
      </c>
      <c r="G44" s="48" t="s">
        <v>169</v>
      </c>
      <c r="H44" s="48"/>
      <c r="I44" s="48">
        <f t="shared" si="55"/>
        <v>28</v>
      </c>
      <c r="J44" s="48" t="str">
        <f t="shared" si="56"/>
        <v/>
      </c>
      <c r="K44" s="46" t="s">
        <v>85</v>
      </c>
      <c r="L44" s="56" t="s">
        <v>86</v>
      </c>
      <c r="M44" s="47" t="s">
        <v>52</v>
      </c>
      <c r="N44" s="47" t="s">
        <v>52</v>
      </c>
      <c r="O44" s="47"/>
      <c r="P44" s="50">
        <v>2</v>
      </c>
      <c r="Q44" s="50" t="s">
        <v>87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88</v>
      </c>
      <c r="AJ44" s="53" t="s">
        <v>89</v>
      </c>
      <c r="AK44" s="53" t="s">
        <v>90</v>
      </c>
      <c r="AL44" s="53" t="s">
        <v>91</v>
      </c>
      <c r="AM44" s="53" t="s">
        <v>86</v>
      </c>
      <c r="AN44" s="53"/>
      <c r="AO44" s="53" t="s">
        <v>92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110</v>
      </c>
      <c r="E45" s="48" t="s">
        <v>119</v>
      </c>
      <c r="F45" s="48" t="s">
        <v>170</v>
      </c>
      <c r="G45" s="48" t="s">
        <v>170</v>
      </c>
      <c r="H45" s="48"/>
      <c r="I45" s="48">
        <f t="shared" si="55"/>
        <v>30</v>
      </c>
      <c r="J45" s="48" t="str">
        <f t="shared" si="56"/>
        <v/>
      </c>
      <c r="K45" s="46" t="s">
        <v>85</v>
      </c>
      <c r="L45" s="56" t="s">
        <v>86</v>
      </c>
      <c r="M45" s="47" t="s">
        <v>52</v>
      </c>
      <c r="N45" s="47" t="s">
        <v>52</v>
      </c>
      <c r="O45" s="47"/>
      <c r="P45" s="50">
        <v>2</v>
      </c>
      <c r="Q45" s="50" t="s">
        <v>87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88</v>
      </c>
      <c r="AJ45" s="53" t="s">
        <v>89</v>
      </c>
      <c r="AK45" s="53" t="s">
        <v>90</v>
      </c>
      <c r="AL45" s="53" t="s">
        <v>91</v>
      </c>
      <c r="AM45" s="53" t="s">
        <v>86</v>
      </c>
      <c r="AN45" s="53"/>
      <c r="AO45" s="53" t="s">
        <v>92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110</v>
      </c>
      <c r="E46" s="48" t="s">
        <v>121</v>
      </c>
      <c r="F46" s="48" t="s">
        <v>171</v>
      </c>
      <c r="G46" s="48" t="s">
        <v>171</v>
      </c>
      <c r="H46" s="48"/>
      <c r="I46" s="48">
        <f t="shared" si="55"/>
        <v>29</v>
      </c>
      <c r="J46" s="48" t="str">
        <f t="shared" si="56"/>
        <v/>
      </c>
      <c r="K46" s="46" t="s">
        <v>85</v>
      </c>
      <c r="L46" s="56" t="s">
        <v>86</v>
      </c>
      <c r="M46" s="47" t="s">
        <v>52</v>
      </c>
      <c r="N46" s="47" t="s">
        <v>52</v>
      </c>
      <c r="O46" s="47"/>
      <c r="P46" s="50">
        <v>2</v>
      </c>
      <c r="Q46" s="50" t="s">
        <v>87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88</v>
      </c>
      <c r="AJ46" s="53" t="s">
        <v>89</v>
      </c>
      <c r="AK46" s="53" t="s">
        <v>90</v>
      </c>
      <c r="AL46" s="53" t="s">
        <v>91</v>
      </c>
      <c r="AM46" s="53" t="s">
        <v>86</v>
      </c>
      <c r="AN46" s="53"/>
      <c r="AO46" s="53" t="s">
        <v>92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110</v>
      </c>
      <c r="E47" s="48" t="s">
        <v>123</v>
      </c>
      <c r="F47" s="48" t="s">
        <v>172</v>
      </c>
      <c r="G47" s="48" t="s">
        <v>172</v>
      </c>
      <c r="H47" s="48"/>
      <c r="I47" s="48">
        <f t="shared" si="55"/>
        <v>34</v>
      </c>
      <c r="J47" s="48" t="str">
        <f t="shared" si="56"/>
        <v/>
      </c>
      <c r="K47" s="46" t="s">
        <v>85</v>
      </c>
      <c r="L47" s="56" t="s">
        <v>86</v>
      </c>
      <c r="M47" s="47" t="s">
        <v>52</v>
      </c>
      <c r="N47" s="47" t="s">
        <v>52</v>
      </c>
      <c r="O47" s="47"/>
      <c r="P47" s="50">
        <v>2</v>
      </c>
      <c r="Q47" s="50" t="s">
        <v>87</v>
      </c>
      <c r="R47" s="47" t="s">
        <v>53</v>
      </c>
      <c r="S47" s="47" t="s">
        <v>125</v>
      </c>
      <c r="T47" s="47">
        <v>1000000</v>
      </c>
      <c r="U47" s="47" t="s">
        <v>126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88</v>
      </c>
      <c r="AJ47" s="53" t="s">
        <v>89</v>
      </c>
      <c r="AK47" s="53" t="s">
        <v>90</v>
      </c>
      <c r="AL47" s="53" t="s">
        <v>91</v>
      </c>
      <c r="AM47" s="53" t="s">
        <v>86</v>
      </c>
      <c r="AN47" s="53"/>
      <c r="AO47" s="53" t="s">
        <v>92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110</v>
      </c>
      <c r="E48" s="48" t="s">
        <v>127</v>
      </c>
      <c r="F48" s="48" t="s">
        <v>173</v>
      </c>
      <c r="G48" s="48" t="s">
        <v>173</v>
      </c>
      <c r="H48" s="48"/>
      <c r="I48" s="48">
        <f t="shared" si="55"/>
        <v>34</v>
      </c>
      <c r="J48" s="48" t="str">
        <f t="shared" si="56"/>
        <v/>
      </c>
      <c r="K48" s="46" t="s">
        <v>85</v>
      </c>
      <c r="L48" s="56" t="s">
        <v>86</v>
      </c>
      <c r="M48" s="47" t="s">
        <v>52</v>
      </c>
      <c r="N48" s="47" t="s">
        <v>52</v>
      </c>
      <c r="O48" s="47"/>
      <c r="P48" s="50">
        <v>2</v>
      </c>
      <c r="Q48" s="50" t="s">
        <v>87</v>
      </c>
      <c r="R48" s="47" t="s">
        <v>53</v>
      </c>
      <c r="S48" s="47" t="s">
        <v>125</v>
      </c>
      <c r="T48" s="47">
        <v>1000000</v>
      </c>
      <c r="U48" s="47" t="s">
        <v>126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88</v>
      </c>
      <c r="AJ48" s="53" t="s">
        <v>89</v>
      </c>
      <c r="AK48" s="53" t="s">
        <v>90</v>
      </c>
      <c r="AL48" s="53" t="s">
        <v>91</v>
      </c>
      <c r="AM48" s="53" t="s">
        <v>86</v>
      </c>
      <c r="AN48" s="53"/>
      <c r="AO48" s="53" t="s">
        <v>92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110</v>
      </c>
      <c r="E49" s="48" t="s">
        <v>129</v>
      </c>
      <c r="F49" s="48" t="s">
        <v>174</v>
      </c>
      <c r="G49" s="48" t="s">
        <v>174</v>
      </c>
      <c r="H49" s="48"/>
      <c r="I49" s="48">
        <f t="shared" si="55"/>
        <v>27</v>
      </c>
      <c r="J49" s="48" t="str">
        <f t="shared" si="56"/>
        <v/>
      </c>
      <c r="K49" s="46" t="s">
        <v>85</v>
      </c>
      <c r="L49" s="56" t="s">
        <v>86</v>
      </c>
      <c r="M49" s="47" t="s">
        <v>52</v>
      </c>
      <c r="N49" s="47" t="s">
        <v>52</v>
      </c>
      <c r="O49" s="47"/>
      <c r="P49" s="50">
        <v>2</v>
      </c>
      <c r="Q49" s="50" t="s">
        <v>87</v>
      </c>
      <c r="R49" s="47" t="s">
        <v>53</v>
      </c>
      <c r="S49" s="47" t="s">
        <v>125</v>
      </c>
      <c r="T49" s="47">
        <v>1000000</v>
      </c>
      <c r="U49" s="47" t="s">
        <v>126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88</v>
      </c>
      <c r="AJ49" s="53" t="s">
        <v>89</v>
      </c>
      <c r="AK49" s="53" t="s">
        <v>90</v>
      </c>
      <c r="AL49" s="53" t="s">
        <v>91</v>
      </c>
      <c r="AM49" s="53" t="s">
        <v>86</v>
      </c>
      <c r="AN49" s="53"/>
      <c r="AO49" s="53" t="s">
        <v>92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110</v>
      </c>
      <c r="E50" s="48" t="s">
        <v>131</v>
      </c>
      <c r="F50" s="48" t="s">
        <v>175</v>
      </c>
      <c r="G50" s="48" t="s">
        <v>175</v>
      </c>
      <c r="H50" s="48"/>
      <c r="I50" s="48">
        <f t="shared" si="55"/>
        <v>39</v>
      </c>
      <c r="J50" s="48" t="str">
        <f t="shared" si="56"/>
        <v/>
      </c>
      <c r="K50" s="46" t="s">
        <v>85</v>
      </c>
      <c r="L50" s="56" t="s">
        <v>86</v>
      </c>
      <c r="M50" s="47" t="s">
        <v>52</v>
      </c>
      <c r="N50" s="47" t="s">
        <v>52</v>
      </c>
      <c r="O50" s="47"/>
      <c r="P50" s="50">
        <v>2</v>
      </c>
      <c r="Q50" s="50" t="s">
        <v>87</v>
      </c>
      <c r="R50" s="47" t="s">
        <v>53</v>
      </c>
      <c r="S50" s="47" t="s">
        <v>125</v>
      </c>
      <c r="T50" s="47">
        <v>1000000</v>
      </c>
      <c r="U50" s="47" t="s">
        <v>126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88</v>
      </c>
      <c r="AJ50" s="53" t="s">
        <v>89</v>
      </c>
      <c r="AK50" s="53" t="s">
        <v>90</v>
      </c>
      <c r="AL50" s="53" t="s">
        <v>91</v>
      </c>
      <c r="AM50" s="53" t="s">
        <v>86</v>
      </c>
      <c r="AN50" s="53"/>
      <c r="AO50" s="53" t="s">
        <v>92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110</v>
      </c>
      <c r="E51" s="48" t="s">
        <v>133</v>
      </c>
      <c r="F51" s="48" t="s">
        <v>176</v>
      </c>
      <c r="G51" s="48" t="s">
        <v>176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85</v>
      </c>
      <c r="L51" s="56" t="s">
        <v>86</v>
      </c>
      <c r="M51" s="47" t="s">
        <v>52</v>
      </c>
      <c r="N51" s="47" t="s">
        <v>52</v>
      </c>
      <c r="O51" s="47"/>
      <c r="P51" s="50">
        <v>2</v>
      </c>
      <c r="Q51" s="50" t="s">
        <v>87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88</v>
      </c>
      <c r="AJ51" s="53" t="s">
        <v>89</v>
      </c>
      <c r="AK51" s="53" t="s">
        <v>90</v>
      </c>
      <c r="AL51" s="53" t="s">
        <v>91</v>
      </c>
      <c r="AM51" s="53" t="s">
        <v>86</v>
      </c>
      <c r="AN51" s="53"/>
      <c r="AO51" s="53" t="s">
        <v>92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110</v>
      </c>
      <c r="E52" s="48" t="s">
        <v>135</v>
      </c>
      <c r="F52" s="48" t="s">
        <v>177</v>
      </c>
      <c r="G52" s="48" t="s">
        <v>177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86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137</v>
      </c>
      <c r="S52" s="47">
        <v>0</v>
      </c>
      <c r="T52" s="47">
        <v>99</v>
      </c>
      <c r="U52" s="47">
        <v>1</v>
      </c>
      <c r="V52" s="47"/>
      <c r="W52" s="47"/>
      <c r="X52" s="47">
        <v>0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0,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111</v>
      </c>
      <c r="E53" s="20" t="s">
        <v>115</v>
      </c>
      <c r="F53" s="20" t="s">
        <v>178</v>
      </c>
      <c r="G53" s="20" t="s">
        <v>178</v>
      </c>
      <c r="H53" s="20"/>
      <c r="I53" s="20">
        <f t="shared" ref="I53:I62" si="60">LEN(F53)</f>
        <v>29</v>
      </c>
      <c r="J53" s="20" t="str">
        <f t="shared" ref="J53:J62" si="61">IF(LEN(F53)&lt;=$J$1,F53,"")</f>
        <v/>
      </c>
      <c r="K53" s="22" t="s">
        <v>85</v>
      </c>
      <c r="L53" s="38" t="s">
        <v>86</v>
      </c>
      <c r="M53" s="25" t="s">
        <v>52</v>
      </c>
      <c r="N53" s="25" t="s">
        <v>52</v>
      </c>
      <c r="O53" s="25"/>
      <c r="P53" s="35">
        <v>2</v>
      </c>
      <c r="Q53" s="35" t="s">
        <v>87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88</v>
      </c>
      <c r="AJ53" s="23" t="s">
        <v>89</v>
      </c>
      <c r="AK53" s="23" t="s">
        <v>90</v>
      </c>
      <c r="AL53" s="23" t="s">
        <v>91</v>
      </c>
      <c r="AM53" s="23" t="s">
        <v>86</v>
      </c>
      <c r="AN53" s="23"/>
      <c r="AO53" s="23" t="s">
        <v>92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6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6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111</v>
      </c>
      <c r="E54" s="20" t="s">
        <v>117</v>
      </c>
      <c r="F54" s="20" t="s">
        <v>179</v>
      </c>
      <c r="G54" s="20" t="s">
        <v>179</v>
      </c>
      <c r="H54" s="20"/>
      <c r="I54" s="20">
        <f t="shared" si="60"/>
        <v>28</v>
      </c>
      <c r="J54" s="20" t="str">
        <f t="shared" si="61"/>
        <v/>
      </c>
      <c r="K54" s="22" t="s">
        <v>85</v>
      </c>
      <c r="L54" s="38" t="s">
        <v>86</v>
      </c>
      <c r="M54" s="25" t="s">
        <v>52</v>
      </c>
      <c r="N54" s="25" t="s">
        <v>52</v>
      </c>
      <c r="O54" s="25"/>
      <c r="P54" s="35">
        <v>2</v>
      </c>
      <c r="Q54" s="35" t="s">
        <v>87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88</v>
      </c>
      <c r="AJ54" s="23" t="s">
        <v>89</v>
      </c>
      <c r="AK54" s="23" t="s">
        <v>90</v>
      </c>
      <c r="AL54" s="23" t="s">
        <v>91</v>
      </c>
      <c r="AM54" s="23" t="s">
        <v>86</v>
      </c>
      <c r="AN54" s="23"/>
      <c r="AO54" s="23" t="s">
        <v>92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111</v>
      </c>
      <c r="E55" s="20" t="s">
        <v>119</v>
      </c>
      <c r="F55" s="20" t="s">
        <v>180</v>
      </c>
      <c r="G55" s="20" t="s">
        <v>180</v>
      </c>
      <c r="H55" s="20"/>
      <c r="I55" s="20">
        <f t="shared" si="60"/>
        <v>30</v>
      </c>
      <c r="J55" s="20" t="str">
        <f t="shared" si="61"/>
        <v/>
      </c>
      <c r="K55" s="22" t="s">
        <v>85</v>
      </c>
      <c r="L55" s="38" t="s">
        <v>86</v>
      </c>
      <c r="M55" s="25" t="s">
        <v>52</v>
      </c>
      <c r="N55" s="25" t="s">
        <v>52</v>
      </c>
      <c r="O55" s="25"/>
      <c r="P55" s="35">
        <v>2</v>
      </c>
      <c r="Q55" s="35" t="s">
        <v>87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88</v>
      </c>
      <c r="AJ55" s="23" t="s">
        <v>89</v>
      </c>
      <c r="AK55" s="23" t="s">
        <v>90</v>
      </c>
      <c r="AL55" s="23" t="s">
        <v>91</v>
      </c>
      <c r="AM55" s="23" t="s">
        <v>86</v>
      </c>
      <c r="AN55" s="23"/>
      <c r="AO55" s="23" t="s">
        <v>92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111</v>
      </c>
      <c r="E56" s="20" t="s">
        <v>121</v>
      </c>
      <c r="F56" s="20" t="s">
        <v>181</v>
      </c>
      <c r="G56" s="20" t="s">
        <v>181</v>
      </c>
      <c r="H56" s="20"/>
      <c r="I56" s="20">
        <f t="shared" si="60"/>
        <v>29</v>
      </c>
      <c r="J56" s="20" t="str">
        <f t="shared" si="61"/>
        <v/>
      </c>
      <c r="K56" s="22" t="s">
        <v>85</v>
      </c>
      <c r="L56" s="38" t="s">
        <v>86</v>
      </c>
      <c r="M56" s="25" t="s">
        <v>52</v>
      </c>
      <c r="N56" s="25" t="s">
        <v>52</v>
      </c>
      <c r="O56" s="25"/>
      <c r="P56" s="35">
        <v>2</v>
      </c>
      <c r="Q56" s="35" t="s">
        <v>87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88</v>
      </c>
      <c r="AJ56" s="23" t="s">
        <v>89</v>
      </c>
      <c r="AK56" s="23" t="s">
        <v>90</v>
      </c>
      <c r="AL56" s="23" t="s">
        <v>91</v>
      </c>
      <c r="AM56" s="23" t="s">
        <v>86</v>
      </c>
      <c r="AN56" s="23"/>
      <c r="AO56" s="23" t="s">
        <v>92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111</v>
      </c>
      <c r="E57" s="20" t="s">
        <v>123</v>
      </c>
      <c r="F57" s="20" t="s">
        <v>182</v>
      </c>
      <c r="G57" s="20" t="s">
        <v>182</v>
      </c>
      <c r="H57" s="20"/>
      <c r="I57" s="20">
        <f t="shared" si="60"/>
        <v>34</v>
      </c>
      <c r="J57" s="20" t="str">
        <f t="shared" si="61"/>
        <v/>
      </c>
      <c r="K57" s="22" t="s">
        <v>85</v>
      </c>
      <c r="L57" s="38" t="s">
        <v>86</v>
      </c>
      <c r="M57" s="25" t="s">
        <v>52</v>
      </c>
      <c r="N57" s="25" t="s">
        <v>52</v>
      </c>
      <c r="O57" s="25"/>
      <c r="P57" s="35">
        <v>2</v>
      </c>
      <c r="Q57" s="35" t="s">
        <v>87</v>
      </c>
      <c r="R57" s="25" t="s">
        <v>53</v>
      </c>
      <c r="S57" s="25" t="s">
        <v>125</v>
      </c>
      <c r="T57" s="25">
        <v>1000000</v>
      </c>
      <c r="U57" s="25" t="s">
        <v>126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88</v>
      </c>
      <c r="AJ57" s="23" t="s">
        <v>89</v>
      </c>
      <c r="AK57" s="23" t="s">
        <v>90</v>
      </c>
      <c r="AL57" s="23" t="s">
        <v>91</v>
      </c>
      <c r="AM57" s="23" t="s">
        <v>86</v>
      </c>
      <c r="AN57" s="23"/>
      <c r="AO57" s="23" t="s">
        <v>92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111</v>
      </c>
      <c r="E58" s="20" t="s">
        <v>127</v>
      </c>
      <c r="F58" s="20" t="s">
        <v>183</v>
      </c>
      <c r="G58" s="20" t="s">
        <v>183</v>
      </c>
      <c r="H58" s="20"/>
      <c r="I58" s="20">
        <f t="shared" si="60"/>
        <v>34</v>
      </c>
      <c r="J58" s="20" t="str">
        <f t="shared" si="61"/>
        <v/>
      </c>
      <c r="K58" s="22" t="s">
        <v>85</v>
      </c>
      <c r="L58" s="38" t="s">
        <v>86</v>
      </c>
      <c r="M58" s="25" t="s">
        <v>52</v>
      </c>
      <c r="N58" s="25" t="s">
        <v>52</v>
      </c>
      <c r="O58" s="25"/>
      <c r="P58" s="35">
        <v>2</v>
      </c>
      <c r="Q58" s="35" t="s">
        <v>87</v>
      </c>
      <c r="R58" s="25" t="s">
        <v>53</v>
      </c>
      <c r="S58" s="25" t="s">
        <v>125</v>
      </c>
      <c r="T58" s="25">
        <v>1000000</v>
      </c>
      <c r="U58" s="25" t="s">
        <v>126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88</v>
      </c>
      <c r="AJ58" s="23" t="s">
        <v>89</v>
      </c>
      <c r="AK58" s="23" t="s">
        <v>90</v>
      </c>
      <c r="AL58" s="23" t="s">
        <v>91</v>
      </c>
      <c r="AM58" s="23" t="s">
        <v>86</v>
      </c>
      <c r="AN58" s="23"/>
      <c r="AO58" s="23" t="s">
        <v>92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111</v>
      </c>
      <c r="E59" s="20" t="s">
        <v>129</v>
      </c>
      <c r="F59" s="20" t="s">
        <v>184</v>
      </c>
      <c r="G59" s="20" t="s">
        <v>184</v>
      </c>
      <c r="H59" s="20"/>
      <c r="I59" s="20">
        <f t="shared" si="60"/>
        <v>27</v>
      </c>
      <c r="J59" s="20" t="str">
        <f t="shared" si="61"/>
        <v/>
      </c>
      <c r="K59" s="22" t="s">
        <v>85</v>
      </c>
      <c r="L59" s="38" t="s">
        <v>86</v>
      </c>
      <c r="M59" s="25" t="s">
        <v>52</v>
      </c>
      <c r="N59" s="25" t="s">
        <v>52</v>
      </c>
      <c r="O59" s="25"/>
      <c r="P59" s="35">
        <v>2</v>
      </c>
      <c r="Q59" s="35" t="s">
        <v>87</v>
      </c>
      <c r="R59" s="25" t="s">
        <v>53</v>
      </c>
      <c r="S59" s="25" t="s">
        <v>125</v>
      </c>
      <c r="T59" s="25">
        <v>1000000</v>
      </c>
      <c r="U59" s="25" t="s">
        <v>126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88</v>
      </c>
      <c r="AJ59" s="23" t="s">
        <v>89</v>
      </c>
      <c r="AK59" s="23" t="s">
        <v>90</v>
      </c>
      <c r="AL59" s="23" t="s">
        <v>91</v>
      </c>
      <c r="AM59" s="23" t="s">
        <v>86</v>
      </c>
      <c r="AN59" s="23"/>
      <c r="AO59" s="23" t="s">
        <v>92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111</v>
      </c>
      <c r="E60" s="20" t="s">
        <v>131</v>
      </c>
      <c r="F60" s="20" t="s">
        <v>185</v>
      </c>
      <c r="G60" s="20" t="s">
        <v>185</v>
      </c>
      <c r="H60" s="20"/>
      <c r="I60" s="20">
        <f t="shared" si="60"/>
        <v>39</v>
      </c>
      <c r="J60" s="20" t="str">
        <f t="shared" si="61"/>
        <v/>
      </c>
      <c r="K60" s="22" t="s">
        <v>85</v>
      </c>
      <c r="L60" s="38" t="s">
        <v>86</v>
      </c>
      <c r="M60" s="25" t="s">
        <v>52</v>
      </c>
      <c r="N60" s="25" t="s">
        <v>52</v>
      </c>
      <c r="O60" s="25"/>
      <c r="P60" s="35">
        <v>2</v>
      </c>
      <c r="Q60" s="35" t="s">
        <v>87</v>
      </c>
      <c r="R60" s="25" t="s">
        <v>53</v>
      </c>
      <c r="S60" s="25" t="s">
        <v>125</v>
      </c>
      <c r="T60" s="25">
        <v>1000000</v>
      </c>
      <c r="U60" s="25" t="s">
        <v>126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88</v>
      </c>
      <c r="AJ60" s="23" t="s">
        <v>89</v>
      </c>
      <c r="AK60" s="23" t="s">
        <v>90</v>
      </c>
      <c r="AL60" s="23" t="s">
        <v>91</v>
      </c>
      <c r="AM60" s="23" t="s">
        <v>86</v>
      </c>
      <c r="AN60" s="23"/>
      <c r="AO60" s="23" t="s">
        <v>92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111</v>
      </c>
      <c r="E61" s="20" t="s">
        <v>133</v>
      </c>
      <c r="F61" s="20" t="s">
        <v>186</v>
      </c>
      <c r="G61" s="20" t="s">
        <v>186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85</v>
      </c>
      <c r="L61" s="38" t="s">
        <v>86</v>
      </c>
      <c r="M61" s="25" t="s">
        <v>52</v>
      </c>
      <c r="N61" s="25" t="s">
        <v>52</v>
      </c>
      <c r="O61" s="25"/>
      <c r="P61" s="35">
        <v>2</v>
      </c>
      <c r="Q61" s="35" t="s">
        <v>87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88</v>
      </c>
      <c r="AJ61" s="23" t="s">
        <v>89</v>
      </c>
      <c r="AK61" s="23" t="s">
        <v>90</v>
      </c>
      <c r="AL61" s="23" t="s">
        <v>91</v>
      </c>
      <c r="AM61" s="23" t="s">
        <v>86</v>
      </c>
      <c r="AN61" s="23"/>
      <c r="AO61" s="23" t="s">
        <v>92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111</v>
      </c>
      <c r="E62" s="20" t="s">
        <v>135</v>
      </c>
      <c r="F62" s="20" t="s">
        <v>187</v>
      </c>
      <c r="G62" s="20" t="s">
        <v>187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86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137</v>
      </c>
      <c r="S62" s="25">
        <v>0</v>
      </c>
      <c r="T62" s="25">
        <v>99</v>
      </c>
      <c r="U62" s="25">
        <v>1</v>
      </c>
      <c r="V62" s="25"/>
      <c r="W62" s="25"/>
      <c r="X62" s="25">
        <v>0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0,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112</v>
      </c>
      <c r="E63" s="48" t="s">
        <v>115</v>
      </c>
      <c r="F63" s="48" t="s">
        <v>188</v>
      </c>
      <c r="G63" s="48" t="s">
        <v>188</v>
      </c>
      <c r="H63" s="48"/>
      <c r="I63" s="48">
        <f t="shared" ref="I63:I72" si="65">LEN(F63)</f>
        <v>29</v>
      </c>
      <c r="J63" s="48" t="str">
        <f t="shared" ref="J63:J72" si="66">IF(LEN(F63)&lt;=$J$1,F63,"")</f>
        <v/>
      </c>
      <c r="K63" s="46" t="s">
        <v>85</v>
      </c>
      <c r="L63" s="56" t="s">
        <v>86</v>
      </c>
      <c r="M63" s="47" t="s">
        <v>52</v>
      </c>
      <c r="N63" s="47" t="s">
        <v>52</v>
      </c>
      <c r="O63" s="47"/>
      <c r="P63" s="50">
        <v>2</v>
      </c>
      <c r="Q63" s="50" t="s">
        <v>87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88</v>
      </c>
      <c r="AJ63" s="53" t="s">
        <v>89</v>
      </c>
      <c r="AK63" s="53" t="s">
        <v>90</v>
      </c>
      <c r="AL63" s="53" t="s">
        <v>91</v>
      </c>
      <c r="AM63" s="53" t="s">
        <v>86</v>
      </c>
      <c r="AN63" s="53"/>
      <c r="AO63" s="53" t="s">
        <v>92</v>
      </c>
      <c r="AP63" s="57" t="str">
        <f t="shared" ref="AP63:AP71" si="6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ref="AV63:AV72" si="68">BIN2DEC(CONCATENATE(0,0,0,0,AR63,AS63,AT63,AU63))</f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ref="BG63:BG72" si="6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112</v>
      </c>
      <c r="E64" s="48" t="s">
        <v>117</v>
      </c>
      <c r="F64" s="48" t="s">
        <v>189</v>
      </c>
      <c r="G64" s="48" t="s">
        <v>189</v>
      </c>
      <c r="H64" s="48"/>
      <c r="I64" s="48">
        <f t="shared" si="65"/>
        <v>28</v>
      </c>
      <c r="J64" s="48" t="str">
        <f t="shared" si="66"/>
        <v/>
      </c>
      <c r="K64" s="46" t="s">
        <v>85</v>
      </c>
      <c r="L64" s="56" t="s">
        <v>86</v>
      </c>
      <c r="M64" s="47" t="s">
        <v>52</v>
      </c>
      <c r="N64" s="47" t="s">
        <v>52</v>
      </c>
      <c r="O64" s="47"/>
      <c r="P64" s="50">
        <v>2</v>
      </c>
      <c r="Q64" s="50" t="s">
        <v>87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88</v>
      </c>
      <c r="AJ64" s="53" t="s">
        <v>89</v>
      </c>
      <c r="AK64" s="53" t="s">
        <v>90</v>
      </c>
      <c r="AL64" s="53" t="s">
        <v>91</v>
      </c>
      <c r="AM64" s="53" t="s">
        <v>86</v>
      </c>
      <c r="AN64" s="53"/>
      <c r="AO64" s="53" t="s">
        <v>92</v>
      </c>
      <c r="AP64" s="57" t="str">
        <f t="shared" si="6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8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9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112</v>
      </c>
      <c r="E65" s="48" t="s">
        <v>119</v>
      </c>
      <c r="F65" s="48" t="s">
        <v>190</v>
      </c>
      <c r="G65" s="48" t="s">
        <v>190</v>
      </c>
      <c r="H65" s="48"/>
      <c r="I65" s="48">
        <f t="shared" si="65"/>
        <v>30</v>
      </c>
      <c r="J65" s="48" t="str">
        <f t="shared" si="66"/>
        <v/>
      </c>
      <c r="K65" s="46" t="s">
        <v>85</v>
      </c>
      <c r="L65" s="56" t="s">
        <v>86</v>
      </c>
      <c r="M65" s="47" t="s">
        <v>52</v>
      </c>
      <c r="N65" s="47" t="s">
        <v>52</v>
      </c>
      <c r="O65" s="47"/>
      <c r="P65" s="50">
        <v>2</v>
      </c>
      <c r="Q65" s="50" t="s">
        <v>87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88</v>
      </c>
      <c r="AJ65" s="53" t="s">
        <v>89</v>
      </c>
      <c r="AK65" s="53" t="s">
        <v>90</v>
      </c>
      <c r="AL65" s="53" t="s">
        <v>91</v>
      </c>
      <c r="AM65" s="53" t="s">
        <v>86</v>
      </c>
      <c r="AN65" s="53"/>
      <c r="AO65" s="53" t="s">
        <v>92</v>
      </c>
      <c r="AP65" s="57" t="str">
        <f t="shared" si="6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8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9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112</v>
      </c>
      <c r="E66" s="48" t="s">
        <v>121</v>
      </c>
      <c r="F66" s="48" t="s">
        <v>191</v>
      </c>
      <c r="G66" s="48" t="s">
        <v>191</v>
      </c>
      <c r="H66" s="48"/>
      <c r="I66" s="48">
        <f t="shared" si="65"/>
        <v>29</v>
      </c>
      <c r="J66" s="48" t="str">
        <f t="shared" si="66"/>
        <v/>
      </c>
      <c r="K66" s="46" t="s">
        <v>85</v>
      </c>
      <c r="L66" s="56" t="s">
        <v>86</v>
      </c>
      <c r="M66" s="47" t="s">
        <v>52</v>
      </c>
      <c r="N66" s="47" t="s">
        <v>52</v>
      </c>
      <c r="O66" s="47"/>
      <c r="P66" s="50">
        <v>2</v>
      </c>
      <c r="Q66" s="50" t="s">
        <v>87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88</v>
      </c>
      <c r="AJ66" s="53" t="s">
        <v>89</v>
      </c>
      <c r="AK66" s="53" t="s">
        <v>90</v>
      </c>
      <c r="AL66" s="53" t="s">
        <v>91</v>
      </c>
      <c r="AM66" s="53" t="s">
        <v>86</v>
      </c>
      <c r="AN66" s="53"/>
      <c r="AO66" s="53" t="s">
        <v>92</v>
      </c>
      <c r="AP66" s="57" t="str">
        <f t="shared" si="6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8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9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112</v>
      </c>
      <c r="E67" s="48" t="s">
        <v>123</v>
      </c>
      <c r="F67" s="48" t="s">
        <v>192</v>
      </c>
      <c r="G67" s="48" t="s">
        <v>192</v>
      </c>
      <c r="H67" s="48"/>
      <c r="I67" s="48">
        <f t="shared" si="65"/>
        <v>34</v>
      </c>
      <c r="J67" s="48" t="str">
        <f t="shared" si="66"/>
        <v/>
      </c>
      <c r="K67" s="46" t="s">
        <v>85</v>
      </c>
      <c r="L67" s="56" t="s">
        <v>86</v>
      </c>
      <c r="M67" s="47" t="s">
        <v>52</v>
      </c>
      <c r="N67" s="47" t="s">
        <v>52</v>
      </c>
      <c r="O67" s="47"/>
      <c r="P67" s="50">
        <v>2</v>
      </c>
      <c r="Q67" s="50" t="s">
        <v>87</v>
      </c>
      <c r="R67" s="47" t="s">
        <v>53</v>
      </c>
      <c r="S67" s="47" t="s">
        <v>125</v>
      </c>
      <c r="T67" s="47">
        <v>1000000</v>
      </c>
      <c r="U67" s="47" t="s">
        <v>126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88</v>
      </c>
      <c r="AJ67" s="53" t="s">
        <v>89</v>
      </c>
      <c r="AK67" s="53" t="s">
        <v>90</v>
      </c>
      <c r="AL67" s="53" t="s">
        <v>91</v>
      </c>
      <c r="AM67" s="53" t="s">
        <v>86</v>
      </c>
      <c r="AN67" s="53"/>
      <c r="AO67" s="53" t="s">
        <v>92</v>
      </c>
      <c r="AP67" s="57" t="str">
        <f t="shared" si="6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8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9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112</v>
      </c>
      <c r="E68" s="48" t="s">
        <v>127</v>
      </c>
      <c r="F68" s="48" t="s">
        <v>193</v>
      </c>
      <c r="G68" s="48" t="s">
        <v>193</v>
      </c>
      <c r="H68" s="48"/>
      <c r="I68" s="48">
        <f t="shared" si="65"/>
        <v>34</v>
      </c>
      <c r="J68" s="48" t="str">
        <f t="shared" si="66"/>
        <v/>
      </c>
      <c r="K68" s="46" t="s">
        <v>85</v>
      </c>
      <c r="L68" s="56" t="s">
        <v>86</v>
      </c>
      <c r="M68" s="47" t="s">
        <v>52</v>
      </c>
      <c r="N68" s="47" t="s">
        <v>52</v>
      </c>
      <c r="O68" s="47"/>
      <c r="P68" s="50">
        <v>2</v>
      </c>
      <c r="Q68" s="50" t="s">
        <v>87</v>
      </c>
      <c r="R68" s="47" t="s">
        <v>53</v>
      </c>
      <c r="S68" s="47" t="s">
        <v>125</v>
      </c>
      <c r="T68" s="47">
        <v>1000000</v>
      </c>
      <c r="U68" s="47" t="s">
        <v>126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88</v>
      </c>
      <c r="AJ68" s="53" t="s">
        <v>89</v>
      </c>
      <c r="AK68" s="53" t="s">
        <v>90</v>
      </c>
      <c r="AL68" s="53" t="s">
        <v>91</v>
      </c>
      <c r="AM68" s="53" t="s">
        <v>86</v>
      </c>
      <c r="AN68" s="53"/>
      <c r="AO68" s="53" t="s">
        <v>92</v>
      </c>
      <c r="AP68" s="57" t="str">
        <f t="shared" si="6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8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9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112</v>
      </c>
      <c r="E69" s="48" t="s">
        <v>129</v>
      </c>
      <c r="F69" s="48" t="s">
        <v>194</v>
      </c>
      <c r="G69" s="48" t="s">
        <v>194</v>
      </c>
      <c r="H69" s="48"/>
      <c r="I69" s="48">
        <f t="shared" si="65"/>
        <v>27</v>
      </c>
      <c r="J69" s="48" t="str">
        <f t="shared" si="66"/>
        <v/>
      </c>
      <c r="K69" s="46" t="s">
        <v>85</v>
      </c>
      <c r="L69" s="56" t="s">
        <v>86</v>
      </c>
      <c r="M69" s="47" t="s">
        <v>52</v>
      </c>
      <c r="N69" s="47" t="s">
        <v>52</v>
      </c>
      <c r="O69" s="47"/>
      <c r="P69" s="50">
        <v>2</v>
      </c>
      <c r="Q69" s="50" t="s">
        <v>87</v>
      </c>
      <c r="R69" s="47" t="s">
        <v>53</v>
      </c>
      <c r="S69" s="47" t="s">
        <v>125</v>
      </c>
      <c r="T69" s="47">
        <v>1000000</v>
      </c>
      <c r="U69" s="47" t="s">
        <v>126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88</v>
      </c>
      <c r="AJ69" s="53" t="s">
        <v>89</v>
      </c>
      <c r="AK69" s="53" t="s">
        <v>90</v>
      </c>
      <c r="AL69" s="53" t="s">
        <v>91</v>
      </c>
      <c r="AM69" s="53" t="s">
        <v>86</v>
      </c>
      <c r="AN69" s="53"/>
      <c r="AO69" s="53" t="s">
        <v>92</v>
      </c>
      <c r="AP69" s="57" t="str">
        <f t="shared" si="6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8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9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112</v>
      </c>
      <c r="E70" s="48" t="s">
        <v>131</v>
      </c>
      <c r="F70" s="48" t="s">
        <v>195</v>
      </c>
      <c r="G70" s="48" t="s">
        <v>195</v>
      </c>
      <c r="H70" s="48"/>
      <c r="I70" s="48">
        <f t="shared" si="65"/>
        <v>39</v>
      </c>
      <c r="J70" s="48" t="str">
        <f t="shared" si="66"/>
        <v/>
      </c>
      <c r="K70" s="46" t="s">
        <v>85</v>
      </c>
      <c r="L70" s="56" t="s">
        <v>86</v>
      </c>
      <c r="M70" s="47" t="s">
        <v>52</v>
      </c>
      <c r="N70" s="47" t="s">
        <v>52</v>
      </c>
      <c r="O70" s="47"/>
      <c r="P70" s="50">
        <v>2</v>
      </c>
      <c r="Q70" s="50" t="s">
        <v>87</v>
      </c>
      <c r="R70" s="47" t="s">
        <v>53</v>
      </c>
      <c r="S70" s="47" t="s">
        <v>125</v>
      </c>
      <c r="T70" s="47">
        <v>1000000</v>
      </c>
      <c r="U70" s="47" t="s">
        <v>126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88</v>
      </c>
      <c r="AJ70" s="53" t="s">
        <v>89</v>
      </c>
      <c r="AK70" s="53" t="s">
        <v>90</v>
      </c>
      <c r="AL70" s="53" t="s">
        <v>91</v>
      </c>
      <c r="AM70" s="53" t="s">
        <v>86</v>
      </c>
      <c r="AN70" s="53"/>
      <c r="AO70" s="53" t="s">
        <v>92</v>
      </c>
      <c r="AP70" s="57" t="str">
        <f t="shared" si="6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8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9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112</v>
      </c>
      <c r="E71" s="48" t="s">
        <v>133</v>
      </c>
      <c r="F71" s="48" t="s">
        <v>196</v>
      </c>
      <c r="G71" s="48" t="s">
        <v>196</v>
      </c>
      <c r="H71" s="48"/>
      <c r="I71" s="48">
        <f t="shared" si="65"/>
        <v>15</v>
      </c>
      <c r="J71" s="48" t="str">
        <f t="shared" si="66"/>
        <v>Метод расчета 7</v>
      </c>
      <c r="K71" s="46" t="s">
        <v>85</v>
      </c>
      <c r="L71" s="56" t="s">
        <v>86</v>
      </c>
      <c r="M71" s="47" t="s">
        <v>52</v>
      </c>
      <c r="N71" s="47" t="s">
        <v>52</v>
      </c>
      <c r="O71" s="47"/>
      <c r="P71" s="50">
        <v>2</v>
      </c>
      <c r="Q71" s="50" t="s">
        <v>87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88</v>
      </c>
      <c r="AJ71" s="53" t="s">
        <v>89</v>
      </c>
      <c r="AK71" s="53" t="s">
        <v>90</v>
      </c>
      <c r="AL71" s="53" t="s">
        <v>91</v>
      </c>
      <c r="AM71" s="53" t="s">
        <v>86</v>
      </c>
      <c r="AN71" s="53"/>
      <c r="AO71" s="53" t="s">
        <v>92</v>
      </c>
      <c r="AP71" s="57" t="str">
        <f t="shared" si="6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8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9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112</v>
      </c>
      <c r="E72" s="48" t="s">
        <v>135</v>
      </c>
      <c r="F72" s="48" t="s">
        <v>197</v>
      </c>
      <c r="G72" s="48" t="s">
        <v>197</v>
      </c>
      <c r="H72" s="49"/>
      <c r="I72" s="48">
        <f t="shared" si="65"/>
        <v>38</v>
      </c>
      <c r="J72" s="48" t="str">
        <f t="shared" si="66"/>
        <v/>
      </c>
      <c r="K72" s="46" t="s">
        <v>63</v>
      </c>
      <c r="L72" s="56" t="s">
        <v>86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137</v>
      </c>
      <c r="S72" s="47">
        <v>0</v>
      </c>
      <c r="T72" s="47">
        <v>99</v>
      </c>
      <c r="U72" s="47">
        <v>1</v>
      </c>
      <c r="V72" s="47"/>
      <c r="W72" s="47"/>
      <c r="X72" s="47">
        <v>0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8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9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0,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113</v>
      </c>
      <c r="E73" s="20" t="s">
        <v>115</v>
      </c>
      <c r="F73" s="20" t="s">
        <v>198</v>
      </c>
      <c r="G73" s="20" t="s">
        <v>198</v>
      </c>
      <c r="H73" s="20"/>
      <c r="I73" s="20">
        <f t="shared" ref="I73:I82" si="70">LEN(F73)</f>
        <v>29</v>
      </c>
      <c r="J73" s="20" t="str">
        <f t="shared" ref="J73:J82" si="71">IF(LEN(F73)&lt;=$J$1,F73,"")</f>
        <v/>
      </c>
      <c r="K73" s="22" t="s">
        <v>85</v>
      </c>
      <c r="L73" s="38" t="s">
        <v>86</v>
      </c>
      <c r="M73" s="25" t="s">
        <v>52</v>
      </c>
      <c r="N73" s="25" t="s">
        <v>52</v>
      </c>
      <c r="O73" s="25"/>
      <c r="P73" s="35">
        <v>2</v>
      </c>
      <c r="Q73" s="35" t="s">
        <v>87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88</v>
      </c>
      <c r="AJ73" s="23" t="s">
        <v>89</v>
      </c>
      <c r="AK73" s="23" t="s">
        <v>90</v>
      </c>
      <c r="AL73" s="23" t="s">
        <v>91</v>
      </c>
      <c r="AM73" s="23" t="s">
        <v>86</v>
      </c>
      <c r="AN73" s="23"/>
      <c r="AO73" s="23" t="s">
        <v>92</v>
      </c>
      <c r="AP73" s="26" t="str">
        <f t="shared" ref="AP73:AP81" si="72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ref="AV73:AV82" si="73">BIN2DEC(CONCATENATE(0,0,0,0,AR73,AS73,AT73,AU73))</f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ref="BG73:BG82" si="74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113</v>
      </c>
      <c r="E74" s="20" t="s">
        <v>117</v>
      </c>
      <c r="F74" s="20" t="s">
        <v>199</v>
      </c>
      <c r="G74" s="20" t="s">
        <v>199</v>
      </c>
      <c r="H74" s="20"/>
      <c r="I74" s="20">
        <f t="shared" si="70"/>
        <v>28</v>
      </c>
      <c r="J74" s="20" t="str">
        <f t="shared" si="71"/>
        <v/>
      </c>
      <c r="K74" s="22" t="s">
        <v>85</v>
      </c>
      <c r="L74" s="38" t="s">
        <v>86</v>
      </c>
      <c r="M74" s="25" t="s">
        <v>52</v>
      </c>
      <c r="N74" s="25" t="s">
        <v>52</v>
      </c>
      <c r="O74" s="25"/>
      <c r="P74" s="35">
        <v>2</v>
      </c>
      <c r="Q74" s="35" t="s">
        <v>87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88</v>
      </c>
      <c r="AJ74" s="23" t="s">
        <v>89</v>
      </c>
      <c r="AK74" s="23" t="s">
        <v>90</v>
      </c>
      <c r="AL74" s="23" t="s">
        <v>91</v>
      </c>
      <c r="AM74" s="23" t="s">
        <v>86</v>
      </c>
      <c r="AN74" s="23"/>
      <c r="AO74" s="23" t="s">
        <v>92</v>
      </c>
      <c r="AP74" s="26" t="str">
        <f t="shared" si="72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7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7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113</v>
      </c>
      <c r="E75" s="20" t="s">
        <v>119</v>
      </c>
      <c r="F75" s="20" t="s">
        <v>200</v>
      </c>
      <c r="G75" s="20" t="s">
        <v>200</v>
      </c>
      <c r="H75" s="20"/>
      <c r="I75" s="20">
        <f t="shared" si="70"/>
        <v>30</v>
      </c>
      <c r="J75" s="20" t="str">
        <f t="shared" si="71"/>
        <v/>
      </c>
      <c r="K75" s="22" t="s">
        <v>85</v>
      </c>
      <c r="L75" s="38" t="s">
        <v>86</v>
      </c>
      <c r="M75" s="25" t="s">
        <v>52</v>
      </c>
      <c r="N75" s="25" t="s">
        <v>52</v>
      </c>
      <c r="O75" s="25"/>
      <c r="P75" s="35">
        <v>2</v>
      </c>
      <c r="Q75" s="35" t="s">
        <v>87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88</v>
      </c>
      <c r="AJ75" s="23" t="s">
        <v>89</v>
      </c>
      <c r="AK75" s="23" t="s">
        <v>90</v>
      </c>
      <c r="AL75" s="23" t="s">
        <v>91</v>
      </c>
      <c r="AM75" s="23" t="s">
        <v>86</v>
      </c>
      <c r="AN75" s="23"/>
      <c r="AO75" s="23" t="s">
        <v>92</v>
      </c>
      <c r="AP75" s="26" t="str">
        <f t="shared" si="72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7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7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113</v>
      </c>
      <c r="E76" s="20" t="s">
        <v>121</v>
      </c>
      <c r="F76" s="20" t="s">
        <v>201</v>
      </c>
      <c r="G76" s="20" t="s">
        <v>201</v>
      </c>
      <c r="H76" s="20"/>
      <c r="I76" s="20">
        <f t="shared" si="70"/>
        <v>29</v>
      </c>
      <c r="J76" s="20" t="str">
        <f t="shared" si="71"/>
        <v/>
      </c>
      <c r="K76" s="22" t="s">
        <v>85</v>
      </c>
      <c r="L76" s="38" t="s">
        <v>86</v>
      </c>
      <c r="M76" s="25" t="s">
        <v>52</v>
      </c>
      <c r="N76" s="25" t="s">
        <v>52</v>
      </c>
      <c r="O76" s="25"/>
      <c r="P76" s="35">
        <v>2</v>
      </c>
      <c r="Q76" s="35" t="s">
        <v>87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88</v>
      </c>
      <c r="AJ76" s="23" t="s">
        <v>89</v>
      </c>
      <c r="AK76" s="23" t="s">
        <v>90</v>
      </c>
      <c r="AL76" s="23" t="s">
        <v>91</v>
      </c>
      <c r="AM76" s="23" t="s">
        <v>86</v>
      </c>
      <c r="AN76" s="23"/>
      <c r="AO76" s="23" t="s">
        <v>92</v>
      </c>
      <c r="AP76" s="26" t="str">
        <f t="shared" si="72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7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7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113</v>
      </c>
      <c r="E77" s="20" t="s">
        <v>123</v>
      </c>
      <c r="F77" s="20" t="s">
        <v>202</v>
      </c>
      <c r="G77" s="20" t="s">
        <v>202</v>
      </c>
      <c r="H77" s="20"/>
      <c r="I77" s="20">
        <f t="shared" si="70"/>
        <v>34</v>
      </c>
      <c r="J77" s="20" t="str">
        <f t="shared" si="71"/>
        <v/>
      </c>
      <c r="K77" s="22" t="s">
        <v>85</v>
      </c>
      <c r="L77" s="38" t="s">
        <v>86</v>
      </c>
      <c r="M77" s="25" t="s">
        <v>52</v>
      </c>
      <c r="N77" s="25" t="s">
        <v>52</v>
      </c>
      <c r="O77" s="25"/>
      <c r="P77" s="35">
        <v>2</v>
      </c>
      <c r="Q77" s="35" t="s">
        <v>87</v>
      </c>
      <c r="R77" s="25" t="s">
        <v>53</v>
      </c>
      <c r="S77" s="25" t="s">
        <v>125</v>
      </c>
      <c r="T77" s="25">
        <v>1000000</v>
      </c>
      <c r="U77" s="25" t="s">
        <v>126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88</v>
      </c>
      <c r="AJ77" s="23" t="s">
        <v>89</v>
      </c>
      <c r="AK77" s="23" t="s">
        <v>90</v>
      </c>
      <c r="AL77" s="23" t="s">
        <v>91</v>
      </c>
      <c r="AM77" s="23" t="s">
        <v>86</v>
      </c>
      <c r="AN77" s="23"/>
      <c r="AO77" s="23" t="s">
        <v>92</v>
      </c>
      <c r="AP77" s="26" t="str">
        <f t="shared" si="72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7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7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113</v>
      </c>
      <c r="E78" s="20" t="s">
        <v>127</v>
      </c>
      <c r="F78" s="20" t="s">
        <v>203</v>
      </c>
      <c r="G78" s="20" t="s">
        <v>203</v>
      </c>
      <c r="H78" s="20"/>
      <c r="I78" s="20">
        <f t="shared" si="70"/>
        <v>34</v>
      </c>
      <c r="J78" s="20" t="str">
        <f t="shared" si="71"/>
        <v/>
      </c>
      <c r="K78" s="22" t="s">
        <v>85</v>
      </c>
      <c r="L78" s="38" t="s">
        <v>86</v>
      </c>
      <c r="M78" s="25" t="s">
        <v>52</v>
      </c>
      <c r="N78" s="25" t="s">
        <v>52</v>
      </c>
      <c r="O78" s="25"/>
      <c r="P78" s="35">
        <v>2</v>
      </c>
      <c r="Q78" s="35" t="s">
        <v>87</v>
      </c>
      <c r="R78" s="25" t="s">
        <v>53</v>
      </c>
      <c r="S78" s="25" t="s">
        <v>125</v>
      </c>
      <c r="T78" s="25">
        <v>1000000</v>
      </c>
      <c r="U78" s="25" t="s">
        <v>126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88</v>
      </c>
      <c r="AJ78" s="23" t="s">
        <v>89</v>
      </c>
      <c r="AK78" s="23" t="s">
        <v>90</v>
      </c>
      <c r="AL78" s="23" t="s">
        <v>91</v>
      </c>
      <c r="AM78" s="23" t="s">
        <v>86</v>
      </c>
      <c r="AN78" s="23"/>
      <c r="AO78" s="23" t="s">
        <v>92</v>
      </c>
      <c r="AP78" s="26" t="str">
        <f t="shared" si="72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7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7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113</v>
      </c>
      <c r="E79" s="20" t="s">
        <v>129</v>
      </c>
      <c r="F79" s="20" t="s">
        <v>204</v>
      </c>
      <c r="G79" s="20" t="s">
        <v>204</v>
      </c>
      <c r="H79" s="20"/>
      <c r="I79" s="20">
        <f t="shared" si="70"/>
        <v>27</v>
      </c>
      <c r="J79" s="20" t="str">
        <f t="shared" si="71"/>
        <v/>
      </c>
      <c r="K79" s="22" t="s">
        <v>85</v>
      </c>
      <c r="L79" s="38" t="s">
        <v>86</v>
      </c>
      <c r="M79" s="25" t="s">
        <v>52</v>
      </c>
      <c r="N79" s="25" t="s">
        <v>52</v>
      </c>
      <c r="O79" s="25"/>
      <c r="P79" s="35">
        <v>2</v>
      </c>
      <c r="Q79" s="35" t="s">
        <v>87</v>
      </c>
      <c r="R79" s="25" t="s">
        <v>53</v>
      </c>
      <c r="S79" s="25" t="s">
        <v>125</v>
      </c>
      <c r="T79" s="25">
        <v>1000000</v>
      </c>
      <c r="U79" s="25" t="s">
        <v>126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88</v>
      </c>
      <c r="AJ79" s="23" t="s">
        <v>89</v>
      </c>
      <c r="AK79" s="23" t="s">
        <v>90</v>
      </c>
      <c r="AL79" s="23" t="s">
        <v>91</v>
      </c>
      <c r="AM79" s="23" t="s">
        <v>86</v>
      </c>
      <c r="AN79" s="23"/>
      <c r="AO79" s="23" t="s">
        <v>92</v>
      </c>
      <c r="AP79" s="26" t="str">
        <f t="shared" si="72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7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7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113</v>
      </c>
      <c r="E80" s="20" t="s">
        <v>131</v>
      </c>
      <c r="F80" s="20" t="s">
        <v>205</v>
      </c>
      <c r="G80" s="20" t="s">
        <v>205</v>
      </c>
      <c r="H80" s="20"/>
      <c r="I80" s="20">
        <f t="shared" si="70"/>
        <v>39</v>
      </c>
      <c r="J80" s="20" t="str">
        <f t="shared" si="71"/>
        <v/>
      </c>
      <c r="K80" s="22" t="s">
        <v>85</v>
      </c>
      <c r="L80" s="38" t="s">
        <v>86</v>
      </c>
      <c r="M80" s="25" t="s">
        <v>52</v>
      </c>
      <c r="N80" s="25" t="s">
        <v>52</v>
      </c>
      <c r="O80" s="25"/>
      <c r="P80" s="35">
        <v>2</v>
      </c>
      <c r="Q80" s="35" t="s">
        <v>87</v>
      </c>
      <c r="R80" s="25" t="s">
        <v>53</v>
      </c>
      <c r="S80" s="25" t="s">
        <v>125</v>
      </c>
      <c r="T80" s="25">
        <v>1000000</v>
      </c>
      <c r="U80" s="25" t="s">
        <v>126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88</v>
      </c>
      <c r="AJ80" s="23" t="s">
        <v>89</v>
      </c>
      <c r="AK80" s="23" t="s">
        <v>90</v>
      </c>
      <c r="AL80" s="23" t="s">
        <v>91</v>
      </c>
      <c r="AM80" s="23" t="s">
        <v>86</v>
      </c>
      <c r="AN80" s="23"/>
      <c r="AO80" s="23" t="s">
        <v>92</v>
      </c>
      <c r="AP80" s="26" t="str">
        <f t="shared" si="72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7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7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60" s="39" customFormat="1" ht="15.75" customHeight="1" x14ac:dyDescent="0.25">
      <c r="A81" s="22"/>
      <c r="B81" s="22" t="s">
        <v>56</v>
      </c>
      <c r="C81" s="25"/>
      <c r="D81" s="30" t="s">
        <v>113</v>
      </c>
      <c r="E81" s="20" t="s">
        <v>133</v>
      </c>
      <c r="F81" s="20" t="s">
        <v>206</v>
      </c>
      <c r="G81" s="20" t="s">
        <v>206</v>
      </c>
      <c r="H81" s="20"/>
      <c r="I81" s="20">
        <f t="shared" si="70"/>
        <v>15</v>
      </c>
      <c r="J81" s="20" t="str">
        <f t="shared" si="71"/>
        <v>Метод расчета 8</v>
      </c>
      <c r="K81" s="22" t="s">
        <v>85</v>
      </c>
      <c r="L81" s="38" t="s">
        <v>86</v>
      </c>
      <c r="M81" s="25" t="s">
        <v>52</v>
      </c>
      <c r="N81" s="25" t="s">
        <v>52</v>
      </c>
      <c r="O81" s="25"/>
      <c r="P81" s="35">
        <v>2</v>
      </c>
      <c r="Q81" s="35" t="s">
        <v>87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88</v>
      </c>
      <c r="AJ81" s="23" t="s">
        <v>89</v>
      </c>
      <c r="AK81" s="23" t="s">
        <v>90</v>
      </c>
      <c r="AL81" s="23" t="s">
        <v>91</v>
      </c>
      <c r="AM81" s="23" t="s">
        <v>86</v>
      </c>
      <c r="AN81" s="23"/>
      <c r="AO81" s="23" t="s">
        <v>92</v>
      </c>
      <c r="AP81" s="26" t="str">
        <f t="shared" si="72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7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7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60" s="39" customFormat="1" ht="31.5" x14ac:dyDescent="0.25">
      <c r="A82" s="22"/>
      <c r="B82" s="22" t="s">
        <v>56</v>
      </c>
      <c r="C82" s="25"/>
      <c r="D82" s="30" t="s">
        <v>113</v>
      </c>
      <c r="E82" s="20" t="s">
        <v>135</v>
      </c>
      <c r="F82" s="20" t="s">
        <v>207</v>
      </c>
      <c r="G82" s="20" t="s">
        <v>207</v>
      </c>
      <c r="H82" s="44"/>
      <c r="I82" s="20">
        <f t="shared" si="70"/>
        <v>38</v>
      </c>
      <c r="J82" s="20" t="str">
        <f t="shared" si="71"/>
        <v/>
      </c>
      <c r="K82" s="22" t="s">
        <v>63</v>
      </c>
      <c r="L82" s="45" t="s">
        <v>86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137</v>
      </c>
      <c r="S82" s="25">
        <v>0</v>
      </c>
      <c r="T82" s="25">
        <v>99</v>
      </c>
      <c r="U82" s="25">
        <v>1</v>
      </c>
      <c r="V82" s="25"/>
      <c r="W82" s="25"/>
      <c r="X82" s="25">
        <v>0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7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7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0, eventRegistration: 0</v>
      </c>
    </row>
    <row r="83" spans="1:60" s="55" customFormat="1" ht="33.75" customHeight="1" x14ac:dyDescent="0.25">
      <c r="A83" s="46"/>
      <c r="B83" s="46" t="s">
        <v>56</v>
      </c>
      <c r="C83" s="47"/>
      <c r="D83" s="59" t="s">
        <v>114</v>
      </c>
      <c r="E83" s="48" t="s">
        <v>115</v>
      </c>
      <c r="F83" s="48" t="s">
        <v>208</v>
      </c>
      <c r="G83" s="48" t="s">
        <v>208</v>
      </c>
      <c r="H83" s="48"/>
      <c r="I83" s="48">
        <f t="shared" ref="I83:I92" si="75">LEN(F83)</f>
        <v>29</v>
      </c>
      <c r="J83" s="48" t="str">
        <f t="shared" ref="J83:J92" si="76">IF(LEN(F83)&lt;=$J$1,F83,"")</f>
        <v/>
      </c>
      <c r="K83" s="46" t="s">
        <v>85</v>
      </c>
      <c r="L83" s="56" t="s">
        <v>86</v>
      </c>
      <c r="M83" s="47" t="s">
        <v>52</v>
      </c>
      <c r="N83" s="47" t="s">
        <v>52</v>
      </c>
      <c r="O83" s="47"/>
      <c r="P83" s="50">
        <v>2</v>
      </c>
      <c r="Q83" s="50" t="s">
        <v>87</v>
      </c>
      <c r="R83" s="47" t="s">
        <v>53</v>
      </c>
      <c r="S83" s="47">
        <v>0</v>
      </c>
      <c r="T83" s="47">
        <v>6</v>
      </c>
      <c r="U83" s="47">
        <v>1</v>
      </c>
      <c r="V83" s="47"/>
      <c r="W83" s="47"/>
      <c r="X83" s="47">
        <v>0</v>
      </c>
      <c r="Y83" s="47">
        <v>0</v>
      </c>
      <c r="Z83" s="51"/>
      <c r="AA83" s="52">
        <v>0</v>
      </c>
      <c r="AB83" s="52"/>
      <c r="AC83" s="52"/>
      <c r="AD83" s="52"/>
      <c r="AE83" s="52"/>
      <c r="AF83" s="52">
        <v>0</v>
      </c>
      <c r="AG83" s="52">
        <v>0</v>
      </c>
      <c r="AH83" s="52">
        <v>0</v>
      </c>
      <c r="AI83" s="52" t="s">
        <v>88</v>
      </c>
      <c r="AJ83" s="53" t="s">
        <v>89</v>
      </c>
      <c r="AK83" s="53" t="s">
        <v>90</v>
      </c>
      <c r="AL83" s="53" t="s">
        <v>91</v>
      </c>
      <c r="AM83" s="53" t="s">
        <v>86</v>
      </c>
      <c r="AN83" s="53"/>
      <c r="AO83" s="53" t="s">
        <v>92</v>
      </c>
      <c r="AP83" s="57" t="str">
        <f t="shared" ref="AP83:AP91" si="77">CONCATENATE(AJ83, ".", AL83)</f>
        <v>GENRBRF1.FailTmms.setVal</v>
      </c>
      <c r="AQ83" s="53" t="s">
        <v>55</v>
      </c>
      <c r="AR83" s="53">
        <v>0</v>
      </c>
      <c r="AS83" s="53">
        <v>0</v>
      </c>
      <c r="AT83" s="53">
        <v>0</v>
      </c>
      <c r="AU83" s="53">
        <v>0</v>
      </c>
      <c r="AV83" s="53">
        <f t="shared" ref="AV83:AV92" si="78">BIN2DEC(CONCATENATE(0,0,0,0,AR83,AS83,AT83,AU83))</f>
        <v>0</v>
      </c>
      <c r="AW83" s="53"/>
      <c r="AX83" s="53"/>
      <c r="AY83" s="50"/>
      <c r="AZ83" s="53"/>
      <c r="BA83" s="53"/>
      <c r="BB83" s="53"/>
      <c r="BC83" s="53"/>
      <c r="BD83" s="53"/>
      <c r="BE83" s="53"/>
      <c r="BF83" s="53"/>
      <c r="BG83" s="54" t="str">
        <f t="shared" ref="BG83:BG92" si="79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84" spans="1:60" s="55" customFormat="1" ht="30.75" customHeight="1" x14ac:dyDescent="0.25">
      <c r="A84" s="46"/>
      <c r="B84" s="46" t="s">
        <v>56</v>
      </c>
      <c r="C84" s="47"/>
      <c r="D84" s="59" t="s">
        <v>114</v>
      </c>
      <c r="E84" s="48" t="s">
        <v>117</v>
      </c>
      <c r="F84" s="48" t="s">
        <v>209</v>
      </c>
      <c r="G84" s="48" t="s">
        <v>209</v>
      </c>
      <c r="H84" s="48"/>
      <c r="I84" s="48">
        <f t="shared" si="75"/>
        <v>28</v>
      </c>
      <c r="J84" s="48" t="str">
        <f t="shared" si="76"/>
        <v/>
      </c>
      <c r="K84" s="46" t="s">
        <v>85</v>
      </c>
      <c r="L84" s="56" t="s">
        <v>86</v>
      </c>
      <c r="M84" s="47" t="s">
        <v>52</v>
      </c>
      <c r="N84" s="47" t="s">
        <v>52</v>
      </c>
      <c r="O84" s="47"/>
      <c r="P84" s="50">
        <v>2</v>
      </c>
      <c r="Q84" s="50" t="s">
        <v>87</v>
      </c>
      <c r="R84" s="47" t="s">
        <v>53</v>
      </c>
      <c r="S84" s="47">
        <v>0</v>
      </c>
      <c r="T84" s="47">
        <v>4</v>
      </c>
      <c r="U84" s="47">
        <v>1</v>
      </c>
      <c r="V84" s="47"/>
      <c r="W84" s="47"/>
      <c r="X84" s="47">
        <v>0</v>
      </c>
      <c r="Y84" s="47">
        <v>0</v>
      </c>
      <c r="Z84" s="51"/>
      <c r="AA84" s="52">
        <v>0</v>
      </c>
      <c r="AB84" s="52"/>
      <c r="AC84" s="52"/>
      <c r="AD84" s="52"/>
      <c r="AE84" s="52"/>
      <c r="AF84" s="52">
        <v>0</v>
      </c>
      <c r="AG84" s="52">
        <v>0</v>
      </c>
      <c r="AH84" s="52">
        <v>0</v>
      </c>
      <c r="AI84" s="52" t="s">
        <v>88</v>
      </c>
      <c r="AJ84" s="53" t="s">
        <v>89</v>
      </c>
      <c r="AK84" s="53" t="s">
        <v>90</v>
      </c>
      <c r="AL84" s="53" t="s">
        <v>91</v>
      </c>
      <c r="AM84" s="53" t="s">
        <v>86</v>
      </c>
      <c r="AN84" s="53"/>
      <c r="AO84" s="53" t="s">
        <v>92</v>
      </c>
      <c r="AP84" s="57" t="str">
        <f t="shared" si="77"/>
        <v>GENRBRF1.FailTmms.setVal</v>
      </c>
      <c r="AQ84" s="53" t="s">
        <v>55</v>
      </c>
      <c r="AR84" s="53">
        <v>0</v>
      </c>
      <c r="AS84" s="53">
        <v>0</v>
      </c>
      <c r="AT84" s="53">
        <v>0</v>
      </c>
      <c r="AU84" s="53">
        <v>0</v>
      </c>
      <c r="AV84" s="53">
        <f t="shared" si="78"/>
        <v>0</v>
      </c>
      <c r="AW84" s="53"/>
      <c r="AX84" s="53"/>
      <c r="AY84" s="50"/>
      <c r="AZ84" s="53"/>
      <c r="BA84" s="53"/>
      <c r="BB84" s="53"/>
      <c r="BC84" s="53"/>
      <c r="BD84" s="53"/>
      <c r="BE84" s="53"/>
      <c r="BF84" s="53"/>
      <c r="BG84" s="54" t="str">
        <f t="shared" si="79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85" spans="1:60" s="55" customFormat="1" ht="33.75" customHeight="1" x14ac:dyDescent="0.25">
      <c r="A85" s="46"/>
      <c r="B85" s="46" t="s">
        <v>56</v>
      </c>
      <c r="C85" s="47"/>
      <c r="D85" s="59" t="s">
        <v>114</v>
      </c>
      <c r="E85" s="48" t="s">
        <v>119</v>
      </c>
      <c r="F85" s="48" t="s">
        <v>210</v>
      </c>
      <c r="G85" s="48" t="s">
        <v>210</v>
      </c>
      <c r="H85" s="48"/>
      <c r="I85" s="48">
        <f t="shared" si="75"/>
        <v>30</v>
      </c>
      <c r="J85" s="48" t="str">
        <f t="shared" si="76"/>
        <v/>
      </c>
      <c r="K85" s="46" t="s">
        <v>85</v>
      </c>
      <c r="L85" s="56" t="s">
        <v>86</v>
      </c>
      <c r="M85" s="47" t="s">
        <v>52</v>
      </c>
      <c r="N85" s="47" t="s">
        <v>52</v>
      </c>
      <c r="O85" s="47"/>
      <c r="P85" s="50">
        <v>2</v>
      </c>
      <c r="Q85" s="50" t="s">
        <v>87</v>
      </c>
      <c r="R85" s="47" t="s">
        <v>53</v>
      </c>
      <c r="S85" s="47">
        <v>0</v>
      </c>
      <c r="T85" s="47">
        <v>2</v>
      </c>
      <c r="U85" s="47">
        <v>1</v>
      </c>
      <c r="V85" s="47"/>
      <c r="W85" s="47"/>
      <c r="X85" s="47">
        <v>0</v>
      </c>
      <c r="Y85" s="47">
        <v>0</v>
      </c>
      <c r="Z85" s="51"/>
      <c r="AA85" s="52">
        <v>0</v>
      </c>
      <c r="AB85" s="52"/>
      <c r="AC85" s="52"/>
      <c r="AD85" s="52"/>
      <c r="AE85" s="52"/>
      <c r="AF85" s="52">
        <v>0</v>
      </c>
      <c r="AG85" s="52">
        <v>0</v>
      </c>
      <c r="AH85" s="52">
        <v>0</v>
      </c>
      <c r="AI85" s="52" t="s">
        <v>88</v>
      </c>
      <c r="AJ85" s="53" t="s">
        <v>89</v>
      </c>
      <c r="AK85" s="53" t="s">
        <v>90</v>
      </c>
      <c r="AL85" s="53" t="s">
        <v>91</v>
      </c>
      <c r="AM85" s="53" t="s">
        <v>86</v>
      </c>
      <c r="AN85" s="53"/>
      <c r="AO85" s="53" t="s">
        <v>92</v>
      </c>
      <c r="AP85" s="57" t="str">
        <f t="shared" si="77"/>
        <v>GENRBRF1.FailTmms.setVal</v>
      </c>
      <c r="AQ85" s="53" t="s">
        <v>55</v>
      </c>
      <c r="AR85" s="53">
        <v>0</v>
      </c>
      <c r="AS85" s="53">
        <v>0</v>
      </c>
      <c r="AT85" s="53">
        <v>0</v>
      </c>
      <c r="AU85" s="53">
        <v>0</v>
      </c>
      <c r="AV85" s="53">
        <f t="shared" si="78"/>
        <v>0</v>
      </c>
      <c r="AW85" s="53"/>
      <c r="AX85" s="53"/>
      <c r="AY85" s="50"/>
      <c r="AZ85" s="53"/>
      <c r="BA85" s="53"/>
      <c r="BB85" s="53"/>
      <c r="BC85" s="53"/>
      <c r="BD85" s="53"/>
      <c r="BE85" s="53"/>
      <c r="BF85" s="53"/>
      <c r="BG85" s="54" t="str">
        <f t="shared" si="79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86" spans="1:60" s="55" customFormat="1" ht="33.75" customHeight="1" x14ac:dyDescent="0.25">
      <c r="A86" s="46"/>
      <c r="B86" s="46" t="s">
        <v>56</v>
      </c>
      <c r="C86" s="47"/>
      <c r="D86" s="59" t="s">
        <v>114</v>
      </c>
      <c r="E86" s="48" t="s">
        <v>121</v>
      </c>
      <c r="F86" s="48" t="s">
        <v>211</v>
      </c>
      <c r="G86" s="48" t="s">
        <v>211</v>
      </c>
      <c r="H86" s="48"/>
      <c r="I86" s="48">
        <f t="shared" si="75"/>
        <v>29</v>
      </c>
      <c r="J86" s="48" t="str">
        <f t="shared" si="76"/>
        <v/>
      </c>
      <c r="K86" s="46" t="s">
        <v>85</v>
      </c>
      <c r="L86" s="56" t="s">
        <v>86</v>
      </c>
      <c r="M86" s="47" t="s">
        <v>52</v>
      </c>
      <c r="N86" s="47" t="s">
        <v>52</v>
      </c>
      <c r="O86" s="47"/>
      <c r="P86" s="50">
        <v>2</v>
      </c>
      <c r="Q86" s="50" t="s">
        <v>87</v>
      </c>
      <c r="R86" s="47" t="s">
        <v>53</v>
      </c>
      <c r="S86" s="47">
        <v>0</v>
      </c>
      <c r="T86" s="47">
        <v>1</v>
      </c>
      <c r="U86" s="47">
        <v>1</v>
      </c>
      <c r="V86" s="47"/>
      <c r="W86" s="47"/>
      <c r="X86" s="47">
        <v>0</v>
      </c>
      <c r="Y86" s="47">
        <v>0</v>
      </c>
      <c r="Z86" s="51"/>
      <c r="AA86" s="52">
        <v>0</v>
      </c>
      <c r="AB86" s="52"/>
      <c r="AC86" s="52"/>
      <c r="AD86" s="52"/>
      <c r="AE86" s="52"/>
      <c r="AF86" s="52">
        <v>0</v>
      </c>
      <c r="AG86" s="52">
        <v>0</v>
      </c>
      <c r="AH86" s="52">
        <v>0</v>
      </c>
      <c r="AI86" s="52" t="s">
        <v>88</v>
      </c>
      <c r="AJ86" s="53" t="s">
        <v>89</v>
      </c>
      <c r="AK86" s="53" t="s">
        <v>90</v>
      </c>
      <c r="AL86" s="53" t="s">
        <v>91</v>
      </c>
      <c r="AM86" s="53" t="s">
        <v>86</v>
      </c>
      <c r="AN86" s="53"/>
      <c r="AO86" s="53" t="s">
        <v>92</v>
      </c>
      <c r="AP86" s="57" t="str">
        <f t="shared" si="77"/>
        <v>GENRBRF1.FailTmms.setVal</v>
      </c>
      <c r="AQ86" s="53" t="s">
        <v>55</v>
      </c>
      <c r="AR86" s="53">
        <v>0</v>
      </c>
      <c r="AS86" s="53">
        <v>0</v>
      </c>
      <c r="AT86" s="53">
        <v>0</v>
      </c>
      <c r="AU86" s="53">
        <v>0</v>
      </c>
      <c r="AV86" s="53">
        <f t="shared" si="78"/>
        <v>0</v>
      </c>
      <c r="AW86" s="53"/>
      <c r="AX86" s="53"/>
      <c r="AY86" s="50"/>
      <c r="AZ86" s="53"/>
      <c r="BA86" s="53"/>
      <c r="BB86" s="53"/>
      <c r="BC86" s="53"/>
      <c r="BD86" s="53"/>
      <c r="BE86" s="53"/>
      <c r="BF86" s="53"/>
      <c r="BG86" s="54" t="str">
        <f t="shared" si="79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87" spans="1:60" s="55" customFormat="1" ht="39" customHeight="1" x14ac:dyDescent="0.25">
      <c r="A87" s="46"/>
      <c r="B87" s="46" t="s">
        <v>56</v>
      </c>
      <c r="C87" s="47"/>
      <c r="D87" s="59" t="s">
        <v>114</v>
      </c>
      <c r="E87" s="48" t="s">
        <v>123</v>
      </c>
      <c r="F87" s="48" t="s">
        <v>212</v>
      </c>
      <c r="G87" s="48" t="s">
        <v>212</v>
      </c>
      <c r="H87" s="48"/>
      <c r="I87" s="48">
        <f t="shared" si="75"/>
        <v>34</v>
      </c>
      <c r="J87" s="48" t="str">
        <f t="shared" si="76"/>
        <v/>
      </c>
      <c r="K87" s="46" t="s">
        <v>85</v>
      </c>
      <c r="L87" s="56" t="s">
        <v>86</v>
      </c>
      <c r="M87" s="47" t="s">
        <v>52</v>
      </c>
      <c r="N87" s="47" t="s">
        <v>52</v>
      </c>
      <c r="O87" s="47"/>
      <c r="P87" s="50">
        <v>2</v>
      </c>
      <c r="Q87" s="50" t="s">
        <v>87</v>
      </c>
      <c r="R87" s="47" t="s">
        <v>53</v>
      </c>
      <c r="S87" s="47" t="s">
        <v>125</v>
      </c>
      <c r="T87" s="47">
        <v>1000000</v>
      </c>
      <c r="U87" s="47" t="s">
        <v>126</v>
      </c>
      <c r="V87" s="47"/>
      <c r="W87" s="47"/>
      <c r="X87" s="47">
        <v>1</v>
      </c>
      <c r="Y87" s="47">
        <v>0</v>
      </c>
      <c r="Z87" s="51"/>
      <c r="AA87" s="52">
        <v>0</v>
      </c>
      <c r="AB87" s="52"/>
      <c r="AC87" s="52"/>
      <c r="AD87" s="52"/>
      <c r="AE87" s="52"/>
      <c r="AF87" s="52">
        <v>0</v>
      </c>
      <c r="AG87" s="52">
        <v>0</v>
      </c>
      <c r="AH87" s="52">
        <v>0</v>
      </c>
      <c r="AI87" s="52" t="s">
        <v>88</v>
      </c>
      <c r="AJ87" s="53" t="s">
        <v>89</v>
      </c>
      <c r="AK87" s="53" t="s">
        <v>90</v>
      </c>
      <c r="AL87" s="53" t="s">
        <v>91</v>
      </c>
      <c r="AM87" s="53" t="s">
        <v>86</v>
      </c>
      <c r="AN87" s="53"/>
      <c r="AO87" s="53" t="s">
        <v>92</v>
      </c>
      <c r="AP87" s="57" t="str">
        <f t="shared" si="77"/>
        <v>GENRBRF1.FailTmms.setVal</v>
      </c>
      <c r="AQ87" s="53" t="s">
        <v>55</v>
      </c>
      <c r="AR87" s="53">
        <v>0</v>
      </c>
      <c r="AS87" s="53">
        <v>0</v>
      </c>
      <c r="AT87" s="53">
        <v>0</v>
      </c>
      <c r="AU87" s="53">
        <v>0</v>
      </c>
      <c r="AV87" s="53">
        <f t="shared" si="78"/>
        <v>0</v>
      </c>
      <c r="AW87" s="53"/>
      <c r="AX87" s="53"/>
      <c r="AY87" s="50"/>
      <c r="AZ87" s="53"/>
      <c r="BA87" s="53"/>
      <c r="BB87" s="53"/>
      <c r="BC87" s="53"/>
      <c r="BD87" s="53"/>
      <c r="BE87" s="53"/>
      <c r="BF87" s="53"/>
      <c r="BG87" s="54" t="str">
        <f t="shared" si="79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88" spans="1:60" s="55" customFormat="1" ht="33" customHeight="1" x14ac:dyDescent="0.25">
      <c r="A88" s="46"/>
      <c r="B88" s="46" t="s">
        <v>56</v>
      </c>
      <c r="C88" s="47"/>
      <c r="D88" s="59" t="s">
        <v>114</v>
      </c>
      <c r="E88" s="48" t="s">
        <v>127</v>
      </c>
      <c r="F88" s="48" t="s">
        <v>213</v>
      </c>
      <c r="G88" s="48" t="s">
        <v>213</v>
      </c>
      <c r="H88" s="48"/>
      <c r="I88" s="48">
        <f t="shared" si="75"/>
        <v>34</v>
      </c>
      <c r="J88" s="48" t="str">
        <f t="shared" si="76"/>
        <v/>
      </c>
      <c r="K88" s="46" t="s">
        <v>85</v>
      </c>
      <c r="L88" s="56" t="s">
        <v>86</v>
      </c>
      <c r="M88" s="47" t="s">
        <v>52</v>
      </c>
      <c r="N88" s="47" t="s">
        <v>52</v>
      </c>
      <c r="O88" s="47"/>
      <c r="P88" s="50">
        <v>2</v>
      </c>
      <c r="Q88" s="50" t="s">
        <v>87</v>
      </c>
      <c r="R88" s="47" t="s">
        <v>53</v>
      </c>
      <c r="S88" s="47" t="s">
        <v>125</v>
      </c>
      <c r="T88" s="47">
        <v>1000000</v>
      </c>
      <c r="U88" s="47" t="s">
        <v>126</v>
      </c>
      <c r="V88" s="47"/>
      <c r="W88" s="47"/>
      <c r="X88" s="47">
        <v>1</v>
      </c>
      <c r="Y88" s="47">
        <v>0</v>
      </c>
      <c r="Z88" s="51"/>
      <c r="AA88" s="52">
        <v>0</v>
      </c>
      <c r="AB88" s="52"/>
      <c r="AC88" s="52"/>
      <c r="AD88" s="52"/>
      <c r="AE88" s="52"/>
      <c r="AF88" s="52">
        <v>0</v>
      </c>
      <c r="AG88" s="52">
        <v>0</v>
      </c>
      <c r="AH88" s="52">
        <v>0</v>
      </c>
      <c r="AI88" s="52" t="s">
        <v>88</v>
      </c>
      <c r="AJ88" s="53" t="s">
        <v>89</v>
      </c>
      <c r="AK88" s="53" t="s">
        <v>90</v>
      </c>
      <c r="AL88" s="53" t="s">
        <v>91</v>
      </c>
      <c r="AM88" s="53" t="s">
        <v>86</v>
      </c>
      <c r="AN88" s="53"/>
      <c r="AO88" s="53" t="s">
        <v>92</v>
      </c>
      <c r="AP88" s="57" t="str">
        <f t="shared" si="77"/>
        <v>GENRBRF1.FailTmms.setVal</v>
      </c>
      <c r="AQ88" s="53" t="s">
        <v>55</v>
      </c>
      <c r="AR88" s="53">
        <v>0</v>
      </c>
      <c r="AS88" s="53">
        <v>0</v>
      </c>
      <c r="AT88" s="53">
        <v>0</v>
      </c>
      <c r="AU88" s="53">
        <v>0</v>
      </c>
      <c r="AV88" s="53">
        <f t="shared" si="78"/>
        <v>0</v>
      </c>
      <c r="AW88" s="53"/>
      <c r="AX88" s="53"/>
      <c r="AY88" s="50"/>
      <c r="AZ88" s="53"/>
      <c r="BA88" s="53"/>
      <c r="BB88" s="53"/>
      <c r="BC88" s="53"/>
      <c r="BD88" s="53"/>
      <c r="BE88" s="53"/>
      <c r="BF88" s="53"/>
      <c r="BG88" s="54" t="str">
        <f t="shared" si="79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89" spans="1:60" s="55" customFormat="1" ht="34.5" customHeight="1" x14ac:dyDescent="0.25">
      <c r="A89" s="46"/>
      <c r="B89" s="46" t="s">
        <v>56</v>
      </c>
      <c r="C89" s="47"/>
      <c r="D89" s="59" t="s">
        <v>114</v>
      </c>
      <c r="E89" s="48" t="s">
        <v>129</v>
      </c>
      <c r="F89" s="48" t="s">
        <v>214</v>
      </c>
      <c r="G89" s="48" t="s">
        <v>214</v>
      </c>
      <c r="H89" s="48"/>
      <c r="I89" s="48">
        <f t="shared" si="75"/>
        <v>27</v>
      </c>
      <c r="J89" s="48" t="str">
        <f t="shared" si="76"/>
        <v/>
      </c>
      <c r="K89" s="46" t="s">
        <v>85</v>
      </c>
      <c r="L89" s="56" t="s">
        <v>86</v>
      </c>
      <c r="M89" s="47" t="s">
        <v>52</v>
      </c>
      <c r="N89" s="47" t="s">
        <v>52</v>
      </c>
      <c r="O89" s="47"/>
      <c r="P89" s="50">
        <v>2</v>
      </c>
      <c r="Q89" s="50" t="s">
        <v>87</v>
      </c>
      <c r="R89" s="47" t="s">
        <v>53</v>
      </c>
      <c r="S89" s="47" t="s">
        <v>125</v>
      </c>
      <c r="T89" s="47">
        <v>1000000</v>
      </c>
      <c r="U89" s="47" t="s">
        <v>126</v>
      </c>
      <c r="V89" s="47"/>
      <c r="W89" s="47"/>
      <c r="X89" s="47">
        <v>1</v>
      </c>
      <c r="Y89" s="47">
        <v>0</v>
      </c>
      <c r="Z89" s="51"/>
      <c r="AA89" s="52">
        <v>0</v>
      </c>
      <c r="AB89" s="52"/>
      <c r="AC89" s="52"/>
      <c r="AD89" s="52"/>
      <c r="AE89" s="52"/>
      <c r="AF89" s="52">
        <v>0</v>
      </c>
      <c r="AG89" s="52">
        <v>0</v>
      </c>
      <c r="AH89" s="52">
        <v>0</v>
      </c>
      <c r="AI89" s="52" t="s">
        <v>88</v>
      </c>
      <c r="AJ89" s="53" t="s">
        <v>89</v>
      </c>
      <c r="AK89" s="53" t="s">
        <v>90</v>
      </c>
      <c r="AL89" s="53" t="s">
        <v>91</v>
      </c>
      <c r="AM89" s="53" t="s">
        <v>86</v>
      </c>
      <c r="AN89" s="53"/>
      <c r="AO89" s="53" t="s">
        <v>92</v>
      </c>
      <c r="AP89" s="57" t="str">
        <f t="shared" si="77"/>
        <v>GENRBRF1.FailTmms.setVal</v>
      </c>
      <c r="AQ89" s="53" t="s">
        <v>55</v>
      </c>
      <c r="AR89" s="53">
        <v>0</v>
      </c>
      <c r="AS89" s="53">
        <v>0</v>
      </c>
      <c r="AT89" s="53">
        <v>0</v>
      </c>
      <c r="AU89" s="53">
        <v>0</v>
      </c>
      <c r="AV89" s="53">
        <f t="shared" si="78"/>
        <v>0</v>
      </c>
      <c r="AW89" s="53"/>
      <c r="AX89" s="53"/>
      <c r="AY89" s="50"/>
      <c r="AZ89" s="53"/>
      <c r="BA89" s="53"/>
      <c r="BB89" s="53"/>
      <c r="BC89" s="53"/>
      <c r="BD89" s="53"/>
      <c r="BE89" s="53"/>
      <c r="BF89" s="53"/>
      <c r="BG89" s="54" t="str">
        <f t="shared" si="79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90" spans="1:60" s="55" customFormat="1" ht="44.25" customHeight="1" x14ac:dyDescent="0.25">
      <c r="A90" s="46"/>
      <c r="B90" s="46" t="s">
        <v>56</v>
      </c>
      <c r="C90" s="47"/>
      <c r="D90" s="59" t="s">
        <v>114</v>
      </c>
      <c r="E90" s="48" t="s">
        <v>131</v>
      </c>
      <c r="F90" s="48" t="s">
        <v>215</v>
      </c>
      <c r="G90" s="48" t="s">
        <v>215</v>
      </c>
      <c r="H90" s="48"/>
      <c r="I90" s="48">
        <f t="shared" si="75"/>
        <v>39</v>
      </c>
      <c r="J90" s="48" t="str">
        <f t="shared" si="76"/>
        <v/>
      </c>
      <c r="K90" s="46" t="s">
        <v>85</v>
      </c>
      <c r="L90" s="56" t="s">
        <v>86</v>
      </c>
      <c r="M90" s="47" t="s">
        <v>52</v>
      </c>
      <c r="N90" s="47" t="s">
        <v>52</v>
      </c>
      <c r="O90" s="47"/>
      <c r="P90" s="50">
        <v>2</v>
      </c>
      <c r="Q90" s="50" t="s">
        <v>87</v>
      </c>
      <c r="R90" s="47" t="s">
        <v>53</v>
      </c>
      <c r="S90" s="47" t="s">
        <v>125</v>
      </c>
      <c r="T90" s="47">
        <v>1000000</v>
      </c>
      <c r="U90" s="47" t="s">
        <v>126</v>
      </c>
      <c r="V90" s="47"/>
      <c r="W90" s="47"/>
      <c r="X90" s="47">
        <v>1</v>
      </c>
      <c r="Y90" s="47">
        <v>0</v>
      </c>
      <c r="Z90" s="51"/>
      <c r="AA90" s="52">
        <v>0</v>
      </c>
      <c r="AB90" s="52"/>
      <c r="AC90" s="52"/>
      <c r="AD90" s="52"/>
      <c r="AE90" s="52"/>
      <c r="AF90" s="52">
        <v>0</v>
      </c>
      <c r="AG90" s="52">
        <v>0</v>
      </c>
      <c r="AH90" s="52">
        <v>0</v>
      </c>
      <c r="AI90" s="52" t="s">
        <v>88</v>
      </c>
      <c r="AJ90" s="53" t="s">
        <v>89</v>
      </c>
      <c r="AK90" s="53" t="s">
        <v>90</v>
      </c>
      <c r="AL90" s="53" t="s">
        <v>91</v>
      </c>
      <c r="AM90" s="53" t="s">
        <v>86</v>
      </c>
      <c r="AN90" s="53"/>
      <c r="AO90" s="53" t="s">
        <v>92</v>
      </c>
      <c r="AP90" s="57" t="str">
        <f t="shared" si="77"/>
        <v>GENRBRF1.FailTmms.setVal</v>
      </c>
      <c r="AQ90" s="53" t="s">
        <v>55</v>
      </c>
      <c r="AR90" s="53">
        <v>0</v>
      </c>
      <c r="AS90" s="53">
        <v>0</v>
      </c>
      <c r="AT90" s="53">
        <v>0</v>
      </c>
      <c r="AU90" s="53">
        <v>0</v>
      </c>
      <c r="AV90" s="53">
        <f t="shared" si="78"/>
        <v>0</v>
      </c>
      <c r="AW90" s="53"/>
      <c r="AX90" s="53"/>
      <c r="AY90" s="50"/>
      <c r="AZ90" s="53"/>
      <c r="BA90" s="53"/>
      <c r="BB90" s="53"/>
      <c r="BC90" s="53"/>
      <c r="BD90" s="53"/>
      <c r="BE90" s="53"/>
      <c r="BF90" s="53"/>
      <c r="BG90" s="54" t="str">
        <f t="shared" si="79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91" spans="1:60" s="55" customFormat="1" ht="15.75" customHeight="1" x14ac:dyDescent="0.25">
      <c r="A91" s="46"/>
      <c r="B91" s="46" t="s">
        <v>56</v>
      </c>
      <c r="C91" s="47"/>
      <c r="D91" s="59" t="s">
        <v>114</v>
      </c>
      <c r="E91" s="48" t="s">
        <v>133</v>
      </c>
      <c r="F91" s="48" t="s">
        <v>216</v>
      </c>
      <c r="G91" s="48" t="s">
        <v>216</v>
      </c>
      <c r="H91" s="48"/>
      <c r="I91" s="48">
        <f t="shared" si="75"/>
        <v>15</v>
      </c>
      <c r="J91" s="48" t="str">
        <f t="shared" si="76"/>
        <v>Метод расчета 9</v>
      </c>
      <c r="K91" s="46" t="s">
        <v>85</v>
      </c>
      <c r="L91" s="56" t="s">
        <v>86</v>
      </c>
      <c r="M91" s="47" t="s">
        <v>52</v>
      </c>
      <c r="N91" s="47" t="s">
        <v>52</v>
      </c>
      <c r="O91" s="47"/>
      <c r="P91" s="50">
        <v>2</v>
      </c>
      <c r="Q91" s="50" t="s">
        <v>87</v>
      </c>
      <c r="R91" s="47" t="s">
        <v>53</v>
      </c>
      <c r="S91" s="47">
        <v>0</v>
      </c>
      <c r="T91" s="47">
        <v>5</v>
      </c>
      <c r="U91" s="47">
        <v>1</v>
      </c>
      <c r="V91" s="47"/>
      <c r="W91" s="47"/>
      <c r="X91" s="47">
        <v>0</v>
      </c>
      <c r="Y91" s="47">
        <v>0</v>
      </c>
      <c r="Z91" s="51"/>
      <c r="AA91" s="52">
        <v>0</v>
      </c>
      <c r="AB91" s="52"/>
      <c r="AC91" s="52"/>
      <c r="AD91" s="52"/>
      <c r="AE91" s="52"/>
      <c r="AF91" s="52">
        <v>0</v>
      </c>
      <c r="AG91" s="52">
        <v>0</v>
      </c>
      <c r="AH91" s="52">
        <v>0</v>
      </c>
      <c r="AI91" s="52" t="s">
        <v>88</v>
      </c>
      <c r="AJ91" s="53" t="s">
        <v>89</v>
      </c>
      <c r="AK91" s="53" t="s">
        <v>90</v>
      </c>
      <c r="AL91" s="53" t="s">
        <v>91</v>
      </c>
      <c r="AM91" s="53" t="s">
        <v>86</v>
      </c>
      <c r="AN91" s="53"/>
      <c r="AO91" s="53" t="s">
        <v>92</v>
      </c>
      <c r="AP91" s="57" t="str">
        <f t="shared" si="77"/>
        <v>GENRBRF1.FailTmms.setVal</v>
      </c>
      <c r="AQ91" s="53" t="s">
        <v>55</v>
      </c>
      <c r="AR91" s="53">
        <v>0</v>
      </c>
      <c r="AS91" s="53">
        <v>0</v>
      </c>
      <c r="AT91" s="53">
        <v>0</v>
      </c>
      <c r="AU91" s="53">
        <v>0</v>
      </c>
      <c r="AV91" s="53">
        <f t="shared" si="78"/>
        <v>0</v>
      </c>
      <c r="AW91" s="53"/>
      <c r="AX91" s="53"/>
      <c r="AY91" s="50"/>
      <c r="AZ91" s="53"/>
      <c r="BA91" s="53"/>
      <c r="BB91" s="53"/>
      <c r="BC91" s="53"/>
      <c r="BD91" s="53"/>
      <c r="BE91" s="53"/>
      <c r="BF91" s="53"/>
      <c r="BG91" s="54" t="str">
        <f t="shared" si="79"/>
        <v>description: "Метод расчета 9", note: "Математический метод расчета", group: "setting", minValue: 0, maxValue: 5, step: 1, units: "null", defaultValue: 0, eventRegistration: 0</v>
      </c>
    </row>
    <row r="92" spans="1:60" s="55" customFormat="1" ht="31.5" x14ac:dyDescent="0.25">
      <c r="A92" s="46"/>
      <c r="B92" s="46" t="s">
        <v>56</v>
      </c>
      <c r="C92" s="47"/>
      <c r="D92" s="59" t="s">
        <v>114</v>
      </c>
      <c r="E92" s="48" t="s">
        <v>135</v>
      </c>
      <c r="F92" s="48" t="s">
        <v>217</v>
      </c>
      <c r="G92" s="48" t="s">
        <v>217</v>
      </c>
      <c r="H92" s="49"/>
      <c r="I92" s="48">
        <f t="shared" si="75"/>
        <v>38</v>
      </c>
      <c r="J92" s="48" t="str">
        <f t="shared" si="76"/>
        <v/>
      </c>
      <c r="K92" s="46" t="s">
        <v>63</v>
      </c>
      <c r="L92" s="56" t="s">
        <v>86</v>
      </c>
      <c r="M92" s="47" t="s">
        <v>52</v>
      </c>
      <c r="N92" s="47" t="s">
        <v>52</v>
      </c>
      <c r="O92" s="47"/>
      <c r="P92" s="50">
        <v>0</v>
      </c>
      <c r="Q92" s="50"/>
      <c r="R92" s="47" t="s">
        <v>137</v>
      </c>
      <c r="S92" s="47">
        <v>0</v>
      </c>
      <c r="T92" s="47">
        <v>99</v>
      </c>
      <c r="U92" s="47">
        <v>1</v>
      </c>
      <c r="V92" s="47"/>
      <c r="W92" s="47"/>
      <c r="X92" s="47">
        <v>0</v>
      </c>
      <c r="Y92" s="47">
        <v>0</v>
      </c>
      <c r="Z92" s="51"/>
      <c r="AA92" s="52">
        <v>0</v>
      </c>
      <c r="AB92" s="52"/>
      <c r="AC92" s="52"/>
      <c r="AD92" s="52"/>
      <c r="AE92" s="52"/>
      <c r="AF92" s="52">
        <v>0</v>
      </c>
      <c r="AG92" s="52">
        <v>0</v>
      </c>
      <c r="AH92" s="52">
        <v>0</v>
      </c>
      <c r="AI92" s="52"/>
      <c r="AJ92" s="53"/>
      <c r="AK92" s="53"/>
      <c r="AL92" s="53"/>
      <c r="AM92" s="53"/>
      <c r="AN92" s="53"/>
      <c r="AO92" s="53"/>
      <c r="AP92" s="53"/>
      <c r="AQ92" s="53"/>
      <c r="AR92" s="53">
        <v>0</v>
      </c>
      <c r="AS92" s="53">
        <v>0</v>
      </c>
      <c r="AT92" s="53">
        <v>0</v>
      </c>
      <c r="AU92" s="53">
        <v>0</v>
      </c>
      <c r="AV92" s="53">
        <f t="shared" si="78"/>
        <v>0</v>
      </c>
      <c r="AW92" s="53" t="s">
        <v>74</v>
      </c>
      <c r="AX92" s="53"/>
      <c r="AY92" s="50"/>
      <c r="AZ92" s="53"/>
      <c r="BA92" s="53"/>
      <c r="BB92" s="53"/>
      <c r="BC92" s="53"/>
      <c r="BD92" s="53"/>
      <c r="BE92" s="53"/>
      <c r="BF92" s="53"/>
      <c r="BG92" s="54" t="str">
        <f t="shared" si="79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0, eventRegistration: 0</v>
      </c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1"/>
      <c r="AB93" s="1"/>
      <c r="AC93" s="1"/>
      <c r="AD93" s="1"/>
      <c r="AE93" s="1"/>
      <c r="AF93" s="1"/>
      <c r="AG93" s="1"/>
      <c r="AH93" s="1"/>
      <c r="AI93" s="1"/>
      <c r="AR93" s="1"/>
      <c r="AS93" s="1"/>
      <c r="AT93" s="1"/>
      <c r="AU93" s="1"/>
      <c r="AV93" s="1"/>
      <c r="AW93" s="1"/>
      <c r="AX93" s="1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1"/>
      <c r="AB94" s="1"/>
      <c r="AC94" s="1"/>
      <c r="AD94" s="1"/>
      <c r="AE94" s="1"/>
      <c r="AF94" s="1"/>
      <c r="AG94" s="1"/>
      <c r="AH94" s="1"/>
      <c r="AI94" s="1"/>
      <c r="AR94" s="1"/>
      <c r="AS94" s="1"/>
      <c r="AT94" s="1"/>
      <c r="AU94" s="1"/>
      <c r="AV94" s="1"/>
      <c r="AW94" s="1"/>
      <c r="AX94" s="1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1"/>
      <c r="AB95" s="1"/>
      <c r="AC95" s="1"/>
      <c r="AD95" s="1"/>
      <c r="AE95" s="1"/>
      <c r="AF95" s="1"/>
      <c r="AG95" s="1"/>
      <c r="AH95" s="1"/>
      <c r="AI95" s="1"/>
      <c r="AR95" s="1"/>
      <c r="AS95" s="1"/>
      <c r="AT95" s="1"/>
      <c r="AU95" s="1"/>
      <c r="AV95" s="1"/>
      <c r="AW95" s="1"/>
      <c r="AX95" s="1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1"/>
      <c r="AB96" s="1"/>
      <c r="AC96" s="1"/>
      <c r="AD96" s="1"/>
      <c r="AE96" s="1"/>
      <c r="AF96" s="1"/>
      <c r="AG96" s="1"/>
      <c r="AH96" s="1"/>
      <c r="AI96" s="1"/>
      <c r="AR96" s="1"/>
      <c r="AS96" s="1"/>
      <c r="AT96" s="1"/>
      <c r="AU96" s="1"/>
      <c r="AV96" s="1"/>
      <c r="AW96" s="1"/>
      <c r="AX96" s="1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1"/>
      <c r="AB97" s="1"/>
      <c r="AC97" s="1"/>
      <c r="AD97" s="1"/>
      <c r="AE97" s="1"/>
      <c r="AF97" s="1"/>
      <c r="AG97" s="1"/>
      <c r="AH97" s="1"/>
      <c r="AI97" s="1"/>
      <c r="AR97" s="1"/>
      <c r="AS97" s="1"/>
      <c r="AT97" s="1"/>
      <c r="AU97" s="1"/>
      <c r="AV97" s="1"/>
      <c r="AW97" s="1"/>
      <c r="AX97" s="1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1"/>
      <c r="AB98" s="1"/>
      <c r="AC98" s="1"/>
      <c r="AD98" s="1"/>
      <c r="AE98" s="1"/>
      <c r="AF98" s="1"/>
      <c r="AG98" s="1"/>
      <c r="AH98" s="1"/>
      <c r="AI98" s="1"/>
      <c r="AR98" s="1"/>
      <c r="AS98" s="1"/>
      <c r="AT98" s="1"/>
      <c r="AU98" s="1"/>
      <c r="AV98" s="1"/>
      <c r="AW98" s="1"/>
      <c r="AX98" s="1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1"/>
      <c r="AB99" s="1"/>
      <c r="AC99" s="1"/>
      <c r="AD99" s="1"/>
      <c r="AE99" s="1"/>
      <c r="AF99" s="1"/>
      <c r="AG99" s="1"/>
      <c r="AH99" s="1"/>
      <c r="AI99" s="1"/>
      <c r="AR99" s="1"/>
      <c r="AS99" s="1"/>
      <c r="AT99" s="1"/>
      <c r="AU99" s="1"/>
      <c r="AV99" s="1"/>
      <c r="AW99" s="1"/>
      <c r="AX99" s="1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R100" s="1"/>
      <c r="AS100" s="1"/>
      <c r="AT100" s="1"/>
      <c r="AU100" s="1"/>
      <c r="AV100" s="1"/>
      <c r="AW100" s="1"/>
      <c r="AX100" s="1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R101" s="1"/>
      <c r="AS101" s="1"/>
      <c r="AT101" s="1"/>
      <c r="AU101" s="1"/>
      <c r="AV101" s="1"/>
      <c r="AW101" s="1"/>
      <c r="AX101" s="1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R102" s="1"/>
      <c r="AS102" s="1"/>
      <c r="AT102" s="1"/>
      <c r="AU102" s="1"/>
      <c r="AV102" s="1"/>
      <c r="AW102" s="1"/>
      <c r="AX102" s="1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3"/>
  <sheetViews>
    <sheetView tabSelected="1" workbookViewId="0">
      <selection activeCell="H6" sqref="H6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225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225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96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96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9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106</v>
      </c>
      <c r="B14" s="40" t="s">
        <v>97</v>
      </c>
    </row>
    <row r="15" spans="1:2" x14ac:dyDescent="0.25">
      <c r="A15" s="58" t="s">
        <v>107</v>
      </c>
      <c r="B15" s="40" t="s">
        <v>98</v>
      </c>
    </row>
    <row r="16" spans="1:2" x14ac:dyDescent="0.25">
      <c r="A16" s="58" t="s">
        <v>108</v>
      </c>
      <c r="B16" s="40" t="s">
        <v>99</v>
      </c>
    </row>
    <row r="17" spans="1:2" x14ac:dyDescent="0.25">
      <c r="A17" s="58" t="s">
        <v>109</v>
      </c>
      <c r="B17" s="40" t="s">
        <v>100</v>
      </c>
    </row>
    <row r="18" spans="1:2" x14ac:dyDescent="0.25">
      <c r="A18" s="58" t="s">
        <v>110</v>
      </c>
      <c r="B18" s="40" t="s">
        <v>101</v>
      </c>
    </row>
    <row r="19" spans="1:2" x14ac:dyDescent="0.25">
      <c r="A19" s="58" t="s">
        <v>111</v>
      </c>
      <c r="B19" s="40" t="s">
        <v>102</v>
      </c>
    </row>
    <row r="20" spans="1:2" x14ac:dyDescent="0.25">
      <c r="A20" s="58" t="s">
        <v>112</v>
      </c>
      <c r="B20" s="40" t="s">
        <v>103</v>
      </c>
    </row>
    <row r="21" spans="1:2" x14ac:dyDescent="0.25">
      <c r="A21" s="58" t="s">
        <v>113</v>
      </c>
      <c r="B21" s="40" t="s">
        <v>104</v>
      </c>
    </row>
    <row r="22" spans="1:2" x14ac:dyDescent="0.25">
      <c r="A22" s="58" t="s">
        <v>114</v>
      </c>
      <c r="B22" s="40" t="s">
        <v>105</v>
      </c>
    </row>
    <row r="23" spans="1:2" x14ac:dyDescent="0.25">
      <c r="A23" s="41" t="s">
        <v>77</v>
      </c>
      <c r="B23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2025-10-08T10:49:31Z</dcterms:modified>
</cp:coreProperties>
</file>